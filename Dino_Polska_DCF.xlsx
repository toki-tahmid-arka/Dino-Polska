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roject\"/>
    </mc:Choice>
  </mc:AlternateContent>
  <bookViews>
    <workbookView xWindow="0" yWindow="0" windowWidth="20490" windowHeight="7020" tabRatio="500" firstSheet="2" activeTab="2"/>
  </bookViews>
  <sheets>
    <sheet name="Cover" sheetId="1" r:id="rId1"/>
    <sheet name="WACC Build-Up" sheetId="2" r:id="rId2"/>
    <sheet name="DCF Valuation" sheetId="3" r:id="rId3"/>
    <sheet name="Sensitivity" sheetId="4" r:id="rId4"/>
    <sheet name="Comps" sheetId="5" r:id="rId5"/>
    <sheet name="Football Field" sheetId="6" r:id="rId6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0" i="3" l="1"/>
  <c r="D30" i="3" l="1"/>
  <c r="F10" i="6" l="1"/>
  <c r="D10" i="6"/>
  <c r="F9" i="6"/>
  <c r="D9" i="6"/>
  <c r="F8" i="6"/>
  <c r="D8" i="6"/>
  <c r="D32" i="5"/>
  <c r="E10" i="6" s="1"/>
  <c r="D29" i="5"/>
  <c r="D31" i="5" s="1"/>
  <c r="E9" i="6" s="1"/>
  <c r="D28" i="5"/>
  <c r="D30" i="5" s="1"/>
  <c r="E8" i="6" s="1"/>
  <c r="F19" i="3"/>
  <c r="E19" i="3"/>
  <c r="D19" i="3"/>
  <c r="F17" i="3"/>
  <c r="E17" i="3"/>
  <c r="D17" i="3"/>
  <c r="F15" i="3"/>
  <c r="E15" i="3"/>
  <c r="D15" i="3"/>
  <c r="F13" i="3"/>
  <c r="F20" i="3" s="1"/>
  <c r="E13" i="3"/>
  <c r="E20" i="3" s="1"/>
  <c r="D13" i="3"/>
  <c r="F12" i="3"/>
  <c r="E12" i="3"/>
  <c r="D12" i="3"/>
  <c r="F10" i="3"/>
  <c r="E10" i="3"/>
  <c r="G9" i="3"/>
  <c r="G18" i="3" s="1"/>
  <c r="D23" i="2"/>
  <c r="D25" i="2" s="1"/>
  <c r="D18" i="2"/>
  <c r="D13" i="2"/>
  <c r="G16" i="3" l="1"/>
  <c r="D30" i="4"/>
  <c r="H21" i="4"/>
  <c r="I35" i="4"/>
  <c r="E35" i="4"/>
  <c r="G34" i="4"/>
  <c r="I33" i="4"/>
  <c r="E33" i="4"/>
  <c r="G32" i="4"/>
  <c r="I31" i="4"/>
  <c r="E31" i="4"/>
  <c r="G30" i="4"/>
  <c r="H24" i="4"/>
  <c r="D24" i="4"/>
  <c r="E23" i="4"/>
  <c r="F22" i="4"/>
  <c r="G21" i="4"/>
  <c r="H20" i="4"/>
  <c r="D20" i="4"/>
  <c r="E19" i="4"/>
  <c r="H34" i="4"/>
  <c r="H32" i="4"/>
  <c r="H35" i="4"/>
  <c r="D35" i="4"/>
  <c r="F34" i="4"/>
  <c r="H33" i="4"/>
  <c r="D33" i="4"/>
  <c r="F32" i="4"/>
  <c r="H31" i="4"/>
  <c r="D31" i="4"/>
  <c r="F30" i="4"/>
  <c r="G24" i="4"/>
  <c r="H23" i="4"/>
  <c r="D23" i="4"/>
  <c r="E22" i="4"/>
  <c r="F21" i="4"/>
  <c r="G20" i="4"/>
  <c r="H19" i="4"/>
  <c r="D19" i="4"/>
  <c r="G35" i="4"/>
  <c r="I34" i="4"/>
  <c r="E34" i="4"/>
  <c r="G33" i="4"/>
  <c r="I32" i="4"/>
  <c r="E32" i="4"/>
  <c r="G31" i="4"/>
  <c r="I30" i="4"/>
  <c r="E30" i="4"/>
  <c r="F24" i="4"/>
  <c r="G23" i="4"/>
  <c r="H22" i="4"/>
  <c r="D22" i="4"/>
  <c r="E21" i="4"/>
  <c r="F20" i="4"/>
  <c r="G19" i="4"/>
  <c r="F35" i="4"/>
  <c r="D34" i="4"/>
  <c r="F33" i="4"/>
  <c r="D32" i="4"/>
  <c r="F19" i="4"/>
  <c r="G22" i="4"/>
  <c r="H30" i="4"/>
  <c r="E20" i="4"/>
  <c r="F23" i="4"/>
  <c r="F31" i="4"/>
  <c r="D21" i="4"/>
  <c r="E24" i="4"/>
  <c r="G14" i="3"/>
  <c r="D24" i="2"/>
  <c r="D27" i="2" s="1"/>
  <c r="D23" i="3" s="1"/>
  <c r="D31" i="3" s="1"/>
  <c r="D32" i="3" s="1"/>
  <c r="H9" i="3"/>
  <c r="G11" i="3"/>
  <c r="G13" i="3" s="1"/>
  <c r="G20" i="3" l="1"/>
  <c r="D38" i="3"/>
  <c r="I25" i="3"/>
  <c r="E25" i="3"/>
  <c r="E26" i="3" s="1"/>
  <c r="H25" i="3"/>
  <c r="D25" i="3"/>
  <c r="D26" i="3" s="1"/>
  <c r="G25" i="3"/>
  <c r="F25" i="3"/>
  <c r="F26" i="3" s="1"/>
  <c r="J25" i="3"/>
  <c r="I9" i="3"/>
  <c r="H14" i="3"/>
  <c r="H16" i="3"/>
  <c r="H18" i="3"/>
  <c r="H11" i="3"/>
  <c r="H13" i="3" s="1"/>
  <c r="H20" i="3" s="1"/>
  <c r="G26" i="3" l="1"/>
  <c r="H26" i="3"/>
  <c r="I14" i="3"/>
  <c r="I11" i="3"/>
  <c r="I13" i="3" s="1"/>
  <c r="I16" i="3"/>
  <c r="I18" i="3"/>
  <c r="J9" i="3"/>
  <c r="I20" i="3" l="1"/>
  <c r="J16" i="3"/>
  <c r="J18" i="3"/>
  <c r="J11" i="3"/>
  <c r="J13" i="3" s="1"/>
  <c r="J14" i="3"/>
  <c r="J20" i="3" l="1"/>
  <c r="J26" i="3" s="1"/>
  <c r="I26" i="3"/>
  <c r="G10" i="4"/>
  <c r="E8" i="4"/>
  <c r="D10" i="4"/>
  <c r="E11" i="4"/>
  <c r="D8" i="4"/>
  <c r="G11" i="4"/>
  <c r="H13" i="4"/>
  <c r="H11" i="4"/>
  <c r="D13" i="4"/>
  <c r="F12" i="4"/>
  <c r="E13" i="4"/>
  <c r="G9" i="4"/>
  <c r="D11" i="4"/>
  <c r="H10" i="4"/>
  <c r="F8" i="4" l="1"/>
  <c r="E10" i="4"/>
  <c r="D9" i="4"/>
  <c r="E12" i="4"/>
  <c r="E9" i="4"/>
  <c r="H8" i="4"/>
  <c r="F10" i="4"/>
  <c r="H9" i="4"/>
  <c r="G8" i="4"/>
  <c r="F9" i="4"/>
  <c r="F11" i="4"/>
  <c r="G13" i="4"/>
  <c r="H12" i="4"/>
  <c r="G12" i="4"/>
  <c r="F13" i="4"/>
  <c r="D12" i="4"/>
  <c r="D34" i="3"/>
  <c r="D37" i="3"/>
  <c r="D39" i="3" s="1"/>
  <c r="D42" i="3" l="1"/>
  <c r="D48" i="3"/>
  <c r="D47" i="3"/>
  <c r="D49" i="3" l="1"/>
  <c r="D44" i="3"/>
  <c r="F7" i="6" l="1"/>
  <c r="D15" i="6" s="1"/>
  <c r="E7" i="6"/>
  <c r="D14" i="6" s="1"/>
  <c r="D7" i="6"/>
  <c r="D13" i="6" s="1"/>
</calcChain>
</file>

<file path=xl/sharedStrings.xml><?xml version="1.0" encoding="utf-8"?>
<sst xmlns="http://schemas.openxmlformats.org/spreadsheetml/2006/main" count="237" uniqueCount="216">
  <si>
    <t>DINO POLSKA S.A.</t>
  </si>
  <si>
    <t>Discounted Cash Flow Valuation Model</t>
  </si>
  <si>
    <t>Warsaw Stock Exchange (WSE: DNP)  |  PLN thousands  |  IFRS  |  April 2026</t>
  </si>
  <si>
    <t>About This Model</t>
  </si>
  <si>
    <t>Company:</t>
  </si>
  <si>
    <t>Dino Polska S.A.</t>
  </si>
  <si>
    <t>Sector:</t>
  </si>
  <si>
    <t>Food Retail / Supermarkets  |  HQ: Krotoszyn, Poland</t>
  </si>
  <si>
    <t>Exchange:</t>
  </si>
  <si>
    <t>Warsaw Stock Exchange (WSE)  |  Ticker: DNP</t>
  </si>
  <si>
    <t>Currency:</t>
  </si>
  <si>
    <t>PLN thousands unless stated</t>
  </si>
  <si>
    <t>Forecast:</t>
  </si>
  <si>
    <t>FY2026E – FY2032E  (7-year explicit DCF period)</t>
  </si>
  <si>
    <t>Methodology:</t>
  </si>
  <si>
    <t>Unlevered FCF (FCFF) discounted at WACC; Gordon Growth terminal value</t>
  </si>
  <si>
    <t>Source Model:</t>
  </si>
  <si>
    <t>Dino_Polska_3-Statement_Model.xlsx</t>
  </si>
  <si>
    <t>Navigation</t>
  </si>
  <si>
    <t>▶  WACC Build-Up</t>
  </si>
  <si>
    <t>Risk-free rate, ERP, beta, cost of debt → WACC</t>
  </si>
  <si>
    <t>▶  DCF Valuation</t>
  </si>
  <si>
    <t>FCFF projection, terminal value, EV bridge → share price</t>
  </si>
  <si>
    <t>▶  Sensitivity</t>
  </si>
  <si>
    <t>Share price sensitivity: WACC × Terminal Growth; EBIT margin × Revenue growth</t>
  </si>
  <si>
    <t>▶  Comps</t>
  </si>
  <si>
    <t>EV/EBITDA, EV/EBIT, P/E trading comparables</t>
  </si>
  <si>
    <t>▶  Football Field</t>
  </si>
  <si>
    <t>Valuation range summary across all methodologies</t>
  </si>
  <si>
    <t>Colour Coding</t>
  </si>
  <si>
    <t>●  Blue text</t>
  </si>
  <si>
    <t>Hard-coded inputs — change to run scenarios</t>
  </si>
  <si>
    <t>●  Black text</t>
  </si>
  <si>
    <t>Calculations / formulas</t>
  </si>
  <si>
    <t>●  Green text</t>
  </si>
  <si>
    <t>Links from the 3-Statement Model</t>
  </si>
  <si>
    <t>●  Red text</t>
  </si>
  <si>
    <t>Key outputs — implied share price</t>
  </si>
  <si>
    <t xml:space="preserve">  DINO POLSKA S.A.  —  WACC Build-Up</t>
  </si>
  <si>
    <t xml:space="preserve">  PLN  |  April 2026  |  CAPM-based cost of equity + after-tax cost of debt</t>
  </si>
  <si>
    <t>Component</t>
  </si>
  <si>
    <t>Value</t>
  </si>
  <si>
    <t>Notes / Source</t>
  </si>
  <si>
    <t>COST OF EQUITY  (CAPM)</t>
  </si>
  <si>
    <t>Risk-Free Rate  (Rf)</t>
  </si>
  <si>
    <t>Polish 10Y government bond yield — NBP, April 2026</t>
  </si>
  <si>
    <t>Equity Risk Premium  (ERP)</t>
  </si>
  <si>
    <t>Damodaran ERP for Poland — 2025 update</t>
  </si>
  <si>
    <t>Beta  (levered, 5Y monthly vs WIG)</t>
  </si>
  <si>
    <t>Regression vs WIG; food retail is defensive</t>
  </si>
  <si>
    <t>Size / Country Risk Premium</t>
  </si>
  <si>
    <t>Small premium for Polish mid-cap liquidity</t>
  </si>
  <si>
    <t>Cost of Equity  (Ke)</t>
  </si>
  <si>
    <t>Rf + beta x ERP + Size</t>
  </si>
  <si>
    <t>COST OF DEBT</t>
  </si>
  <si>
    <t>Pre-tax Cost of Debt  (Kd)</t>
  </si>
  <si>
    <t>Avg borrowing rate from 3-Statement Model (2025A)</t>
  </si>
  <si>
    <t>Tax Rate</t>
  </si>
  <si>
    <t>Polish CIT rate — consistent with 3-Statement Model</t>
  </si>
  <si>
    <t>After-tax Cost of Debt  (Kd × (1−t))</t>
  </si>
  <si>
    <t>CAPITAL STRUCTURE</t>
  </si>
  <si>
    <t>Market Capitalisation  (PLN thousands)</t>
  </si>
  <si>
    <t>DNP price × shares — April 2026 estimate</t>
  </si>
  <si>
    <t>Total Debt  (PLN thousands)</t>
  </si>
  <si>
    <t>ST + LT bank debt + bonds — 2025A Balance Sheet</t>
  </si>
  <si>
    <t>Total Capital  (E + D)</t>
  </si>
  <si>
    <t>Equity Weight  (E / (E+D))</t>
  </si>
  <si>
    <t>Debt Weight  (D / (E+D))</t>
  </si>
  <si>
    <t>WACC</t>
  </si>
  <si>
    <t>← pulled into DCF &amp; Sensitivity sheets</t>
  </si>
  <si>
    <t>Note: Adjust blue cells to reflect updated market data. WACC feeds automatically into DCF Valuation and Sensitivity sheets.</t>
  </si>
  <si>
    <t xml:space="preserve">  DINO POLSKA S.A.  —  DCF Valuation</t>
  </si>
  <si>
    <t xml:space="preserve">  FCFF  |  7-year explicit period 2026E–2032E  |  PLN thousands  |  Mid-year discounting</t>
  </si>
  <si>
    <t xml:space="preserve">  PLN thousands</t>
  </si>
  <si>
    <t>2026E</t>
  </si>
  <si>
    <t>2027E</t>
  </si>
  <si>
    <t>2028E</t>
  </si>
  <si>
    <t>2029E</t>
  </si>
  <si>
    <t>2030E</t>
  </si>
  <si>
    <t>2031E</t>
  </si>
  <si>
    <t>2032E</t>
  </si>
  <si>
    <t>Notes</t>
  </si>
  <si>
    <t>A.  FREE CASH FLOW TO FIRM  (FCFF)</t>
  </si>
  <si>
    <t>Revenue</t>
  </si>
  <si>
    <t>2026–28: from 3-Statement Model</t>
  </si>
  <si>
    <t xml:space="preserve">  Revenue Growth %</t>
  </si>
  <si>
    <t>"-"</t>
  </si>
  <si>
    <t>EBIT</t>
  </si>
  <si>
    <t xml:space="preserve">  EBIT Margin %</t>
  </si>
  <si>
    <t>NOPAT  =  EBIT × (1 − 19%)</t>
  </si>
  <si>
    <t>(+) D&amp;A</t>
  </si>
  <si>
    <t xml:space="preserve">  D&amp;A % Revenue</t>
  </si>
  <si>
    <t>(−) Capex</t>
  </si>
  <si>
    <t xml:space="preserve">  Capex % Revenue</t>
  </si>
  <si>
    <t>(−) Change in NWC</t>
  </si>
  <si>
    <t xml:space="preserve">  NWC Change % Revenue</t>
  </si>
  <si>
    <t>Free Cash Flow to Firm (FCFF)</t>
  </si>
  <si>
    <t>B.  DISCOUNTING  (Mid-Year Convention)</t>
  </si>
  <si>
    <t>← from WACC Build-Up</t>
  </si>
  <si>
    <t>Discount Period  (mid-year)</t>
  </si>
  <si>
    <t>Discount Factor</t>
  </si>
  <si>
    <t>PV of FCFF</t>
  </si>
  <si>
    <t>C.  TERMINAL VALUE  (Gordon Growth Model)</t>
  </si>
  <si>
    <t>Terminal Growth Rate  (g)</t>
  </si>
  <si>
    <t>Long-run nominal GDP growth for Poland</t>
  </si>
  <si>
    <t>Terminal FCFF  (FCFF_2032 × (1+g))</t>
  </si>
  <si>
    <t>Terminal Value  =  FCFF_t / (WACC − g)</t>
  </si>
  <si>
    <t>PV of Terminal Value</t>
  </si>
  <si>
    <t>TV as % of Total EV</t>
  </si>
  <si>
    <t>D.  VALUATION BRIDGE  →  SHARE PRICE</t>
  </si>
  <si>
    <t>Sum of PV(FCFFs)</t>
  </si>
  <si>
    <t>(+) PV of Terminal Value</t>
  </si>
  <si>
    <t>Enterprise Value  (EV)</t>
  </si>
  <si>
    <t>(−) Net Debt  (2025A)</t>
  </si>
  <si>
    <t>Debt 987,278 − Cash 954,814 = 32,464  |  2025A Balance Sheet</t>
  </si>
  <si>
    <t>(−) Minorities  (2025A)</t>
  </si>
  <si>
    <t>Non-controlling interests — 2025A Balance Sheet</t>
  </si>
  <si>
    <t>Equity Value</t>
  </si>
  <si>
    <t>Shares Outstanding  (thousands)</t>
  </si>
  <si>
    <t>98,040 thousand shares — DNP 2025 Annual Report</t>
  </si>
  <si>
    <t>Implied Share Price  (PLN)</t>
  </si>
  <si>
    <t>← DCF INTRINSIC VALUE PER SHARE</t>
  </si>
  <si>
    <t>E.  IMPLIED MULTIPLES  (Sanity Check — 2025A)</t>
  </si>
  <si>
    <t>EV / EBITDA  (2025A EBITDA = 2,546,313)</t>
  </si>
  <si>
    <t>EV / EBIT   (2025A EBIT = 2,041,282)</t>
  </si>
  <si>
    <t>P / E        (2025A Net Profit = 1,558,797)</t>
  </si>
  <si>
    <t xml:space="preserve">  DINO POLSKA S.A.  —  Sensitivity Analysis</t>
  </si>
  <si>
    <t xml:space="preserve">  Implied Share Price (PLN)  |  Two-variable data tables</t>
  </si>
  <si>
    <t>TABLE 1  —  Implied Share Price  vs.  WACC  ×  Terminal Growth Rate</t>
  </si>
  <si>
    <t>WACC  ↓  /  TGR  →</t>
  </si>
  <si>
    <t>Base case highlighted (WACC=8.0%, TGR=3.0%)</t>
  </si>
  <si>
    <t>TABLE 2  —  Implied Share Price  vs.  EBIT Margin  ×  Revenue Growth (2029–32 avg)</t>
  </si>
  <si>
    <t>EBIT Margin  ↓  /  Rev Growth  →</t>
  </si>
  <si>
    <t>Base case highlighted (EBIT Margin=6.8%, Rev Growth=9.0%). WACC=8.0%, TGR=3.0% held constant.</t>
  </si>
  <si>
    <t>TABLE 3  —  Implied Share Price  vs.  WACC  ×  EBIT Margin</t>
  </si>
  <si>
    <t>WACC  ↓  /  EBIT Margin  →</t>
  </si>
  <si>
    <t>Base case highlighted (WACC=8.0%, EBIT Margin=6.8%). TGR=3.0%, Rev Growth=9.0% held constant.</t>
  </si>
  <si>
    <t xml:space="preserve">  DINO POLSKA S.A.  —  Trading Comparables</t>
  </si>
  <si>
    <t xml:space="preserve">  Peer group EV/EBITDA, EV/EBIT, P/E  |  PLN equivalent  |  April 2026</t>
  </si>
  <si>
    <t>Company</t>
  </si>
  <si>
    <t>Country</t>
  </si>
  <si>
    <t>Mkt Cap
(PLNm eq)</t>
  </si>
  <si>
    <t>EV
(PLNm eq)</t>
  </si>
  <si>
    <t>EV/
EBITDA
2024A</t>
  </si>
  <si>
    <t>EV/
EBITDA
2025A</t>
  </si>
  <si>
    <t>EV/
EBIT
2025A</t>
  </si>
  <si>
    <t>P/E
2025A</t>
  </si>
  <si>
    <t>Rev Gr
2025A</t>
  </si>
  <si>
    <t>Jeronimo Martins</t>
  </si>
  <si>
    <t>Portugal/PL</t>
  </si>
  <si>
    <t>Biedronka operator; closest comparable</t>
  </si>
  <si>
    <t>Eurocash</t>
  </si>
  <si>
    <t>Poland</t>
  </si>
  <si>
    <t>Polish food wholesale &amp; retail</t>
  </si>
  <si>
    <t>Carrefour</t>
  </si>
  <si>
    <t>France</t>
  </si>
  <si>
    <t>European hypermarket operator</t>
  </si>
  <si>
    <t>Ahold Delhaize</t>
  </si>
  <si>
    <t>Netherlands</t>
  </si>
  <si>
    <t>US &amp; European food retail</t>
  </si>
  <si>
    <t>Bim Birlesik</t>
  </si>
  <si>
    <t>Turkey</t>
  </si>
  <si>
    <t>Turkish discounter; high inflation skews</t>
  </si>
  <si>
    <t>Lidl / Kaufland</t>
  </si>
  <si>
    <t>Germany</t>
  </si>
  <si>
    <t>n/a</t>
  </si>
  <si>
    <t>Private — no public comps available</t>
  </si>
  <si>
    <t>X5 Retail Group</t>
  </si>
  <si>
    <t>Russia</t>
  </si>
  <si>
    <t>Suspended from trading — excluded</t>
  </si>
  <si>
    <t>PEER STATISTICS  (excl. private / suspended)</t>
  </si>
  <si>
    <t>Median</t>
  </si>
  <si>
    <t>Mean</t>
  </si>
  <si>
    <t>Min</t>
  </si>
  <si>
    <t>Max</t>
  </si>
  <si>
    <t>DINO POLSKA  —  IMPLIED VALUATION FROM COMPS</t>
  </si>
  <si>
    <t>Dino 2025A EBITDA  (PLN thousands)</t>
  </si>
  <si>
    <t>From 3-Statement Model</t>
  </si>
  <si>
    <t>Dino 2025A EBIT    (PLN thousands)</t>
  </si>
  <si>
    <t>Dino 2025A Net Profit  (PLN thousands)</t>
  </si>
  <si>
    <t>Median EV/EBITDA applied</t>
  </si>
  <si>
    <t>Median EV/EBIT applied</t>
  </si>
  <si>
    <t>Median P/E applied</t>
  </si>
  <si>
    <t>Implied EV  (EV/EBITDA)</t>
  </si>
  <si>
    <t>Implied EV  (EV/EBIT)</t>
  </si>
  <si>
    <t>Implied Share Price  (EV/EBITDA method, PLN)</t>
  </si>
  <si>
    <t>Implied Share Price  (EV/EBIT method, PLN)</t>
  </si>
  <si>
    <t>Implied Share Price  (P/E method, PLN)</t>
  </si>
  <si>
    <t>Source: Bloomberg / FactSet consensus estimates — April 2026. All figures in PLN thousands equivalent.</t>
  </si>
  <si>
    <t xml:space="preserve">  DINO POLSKA S.A.  —  Football Field  |  Valuation Summary</t>
  </si>
  <si>
    <t xml:space="preserve">  Implied share price range (PLN) across all methodologies  |  April 2026</t>
  </si>
  <si>
    <t>Methodology</t>
  </si>
  <si>
    <t>Low (PLN)</t>
  </si>
  <si>
    <t>Base (PLN)</t>
  </si>
  <si>
    <t>High (PLN)</t>
  </si>
  <si>
    <t>Current Price
~PLN 400</t>
  </si>
  <si>
    <t>Weight</t>
  </si>
  <si>
    <t>DCF  (WACC 7%–9%, TGR 2.5%–3.5%)</t>
  </si>
  <si>
    <t>~400 PLN</t>
  </si>
  <si>
    <t>50%</t>
  </si>
  <si>
    <t>Base: WACC=8.0%, TGR=3.0%</t>
  </si>
  <si>
    <t>Trading Comps  EV/EBITDA  (7.5x–11x)</t>
  </si>
  <si>
    <t>25%</t>
  </si>
  <si>
    <t>Median peer EV/EBITDA 2025A</t>
  </si>
  <si>
    <t>Trading Comps  EV/EBIT  (9x–16x)</t>
  </si>
  <si>
    <t>15%</t>
  </si>
  <si>
    <t>Median peer EV/EBIT 2025A</t>
  </si>
  <si>
    <t>Trading Comps  P/E  (14x–22x)</t>
  </si>
  <si>
    <t>10%</t>
  </si>
  <si>
    <t>Median peer P/E 2025A</t>
  </si>
  <si>
    <t>BLENDED SUMMARY  (weighted by methodology weight)</t>
  </si>
  <si>
    <t>Blended Low</t>
  </si>
  <si>
    <t>Blended Base</t>
  </si>
  <si>
    <t>Blended High</t>
  </si>
  <si>
    <t>Weights are indicative (blue cells — adjust as needed). Current market price approx. PLN 400/share (April 2026).</t>
  </si>
  <si>
    <t>Sources: DCF from this model; Comps from Bloomberg/FactSet; EV/EBIT and P/E from peer analysis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</si>
</sst>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;\(0.0%\);\-"/>
    <numFmt numFmtId="165" formatCode="#,##0;\(#,##0\);\-"/>
    <numFmt numFmtId="166" formatCode="0.0"/>
    <numFmt numFmtId="167" formatCode="0.000"/>
    <numFmt numFmtId="168" formatCode="0.0\x;\(0.0&quot;x)&quot;;\-"/>
  </numFmts>
  <fonts count="35" x14ac:knownFonts="1">
    <font>
      <sz val="11"/>
      <color theme="1"/>
      <name val="Calibri"/>
      <family val="2"/>
      <charset val="1"/>
    </font>
    <font>
      <b/>
      <sz val="24"/>
      <color rgb="FFFFFFFF"/>
      <name val="Arial"/>
      <charset val="1"/>
    </font>
    <font>
      <sz val="14"/>
      <color rgb="FFB8CCE4"/>
      <name val="Arial"/>
      <charset val="1"/>
    </font>
    <font>
      <sz val="10"/>
      <color rgb="FFAAAAAA"/>
      <name val="Arial"/>
      <charset val="1"/>
    </font>
    <font>
      <b/>
      <sz val="11"/>
      <color rgb="FF1F2D4E"/>
      <name val="Arial"/>
      <charset val="1"/>
    </font>
    <font>
      <b/>
      <sz val="10"/>
      <color rgb="FF1F2D4E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0"/>
      <color rgb="FF008000"/>
      <name val="Arial"/>
      <charset val="1"/>
    </font>
    <font>
      <b/>
      <sz val="10"/>
      <color rgb="FFC00000"/>
      <name val="Arial"/>
      <charset val="1"/>
    </font>
    <font>
      <b/>
      <sz val="13"/>
      <color rgb="FFFFFFFF"/>
      <name val="Arial"/>
      <charset val="1"/>
    </font>
    <font>
      <sz val="10"/>
      <color rgb="FF0000FF"/>
      <name val="Arial"/>
      <charset val="1"/>
    </font>
    <font>
      <i/>
      <sz val="9"/>
      <color rgb="FF666666"/>
      <name val="Arial"/>
      <charset val="1"/>
    </font>
    <font>
      <b/>
      <sz val="11"/>
      <color rgb="FF000000"/>
      <name val="Arial"/>
      <charset val="1"/>
    </font>
    <font>
      <b/>
      <sz val="14"/>
      <color rgb="FFFFFFC0"/>
      <name val="Arial"/>
      <charset val="1"/>
    </font>
    <font>
      <sz val="10"/>
      <color rgb="FF008000"/>
      <name val="Arial"/>
      <charset val="1"/>
    </font>
    <font>
      <sz val="9"/>
      <color rgb="FF666666"/>
      <name val="Arial"/>
      <charset val="1"/>
    </font>
    <font>
      <sz val="9"/>
      <color rgb="FF000000"/>
      <name val="Arial"/>
      <charset val="1"/>
    </font>
    <font>
      <sz val="9"/>
      <color rgb="FF0000FF"/>
      <name val="Arial"/>
      <charset val="1"/>
    </font>
    <font>
      <b/>
      <sz val="10"/>
      <color rgb="FFFFFFFF"/>
      <name val="Arial"/>
      <charset val="1"/>
    </font>
    <font>
      <b/>
      <sz val="12"/>
      <color rgb="FF1F2D4E"/>
      <name val="Arial"/>
      <charset val="1"/>
    </font>
    <font>
      <b/>
      <sz val="14"/>
      <color rgb="FFC00000"/>
      <name val="Arial"/>
      <charset val="1"/>
    </font>
    <font>
      <b/>
      <sz val="12"/>
      <color rgb="FFC00000"/>
      <name val="Arial"/>
      <charset val="1"/>
    </font>
    <font>
      <i/>
      <sz val="8"/>
      <color rgb="FF888888"/>
      <name val="Arial"/>
      <charset val="1"/>
    </font>
    <font>
      <sz val="11"/>
      <color rgb="FF1F2D4E"/>
      <name val="Arial"/>
      <charset val="1"/>
    </font>
    <font>
      <b/>
      <sz val="11"/>
      <color rgb="FFC00000"/>
      <name val="Arial"/>
      <charset val="1"/>
    </font>
    <font>
      <i/>
      <sz val="9"/>
      <color rgb="FF888888"/>
      <name val="Arial"/>
      <charset val="1"/>
    </font>
    <font>
      <b/>
      <sz val="11"/>
      <color rgb="FFFFFFFF"/>
      <name val="Arial"/>
      <charset val="1"/>
    </font>
    <font>
      <b/>
      <sz val="13"/>
      <color rgb="FFC00000"/>
      <name val="Arial"/>
      <charset val="1"/>
    </font>
    <font>
      <b/>
      <sz val="11"/>
      <color theme="0"/>
      <name val="Arial"/>
      <family val="2"/>
    </font>
    <font>
      <sz val="11"/>
      <color theme="0"/>
      <name val="Calibri"/>
      <family val="2"/>
      <charset val="1"/>
    </font>
    <font>
      <b/>
      <sz val="10"/>
      <color theme="0"/>
      <name val="Arial"/>
      <family val="2"/>
    </font>
    <font>
      <b/>
      <sz val="20"/>
      <color rgb="FFFFFFFF"/>
      <name val="Arial"/>
      <family val="2"/>
    </font>
    <font>
      <b/>
      <sz val="9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2D4E"/>
        <bgColor rgb="FF003366"/>
      </patternFill>
    </fill>
    <fill>
      <patternFill patternType="solid">
        <fgColor rgb="FFB8CCE4"/>
        <bgColor rgb="FFC0C0C0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FFFFC0"/>
        <bgColor rgb="FFFFFF99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theme="0"/>
        <bgColor rgb="FF003366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C0C0C0"/>
      </patternFill>
    </fill>
    <fill>
      <patternFill patternType="solid">
        <fgColor theme="4"/>
        <bgColor rgb="FFE2EFDA"/>
      </patternFill>
    </fill>
    <fill>
      <patternFill patternType="solid">
        <fgColor theme="4"/>
        <bgColor rgb="FF003366"/>
      </patternFill>
    </fill>
    <fill>
      <patternFill patternType="solid">
        <fgColor theme="0" tint="-4.9989318521683403E-2"/>
        <bgColor rgb="FFE2EFDA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Alignment="1"/>
    <xf numFmtId="0" fontId="0" fillId="2" borderId="0" xfId="0" applyFill="1" applyAlignment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11" fillId="2" borderId="0" xfId="0" applyFont="1" applyFill="1" applyAlignment="1">
      <alignment horizontal="left" vertical="center"/>
    </xf>
    <xf numFmtId="164" fontId="12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2" fontId="12" fillId="0" borderId="0" xfId="0" applyNumberFormat="1" applyFont="1" applyAlignment="1">
      <alignment horizontal="right" vertical="center"/>
    </xf>
    <xf numFmtId="164" fontId="14" fillId="5" borderId="0" xfId="0" applyNumberFormat="1" applyFont="1" applyFill="1" applyAlignment="1">
      <alignment horizontal="right" vertical="center"/>
    </xf>
    <xf numFmtId="0" fontId="13" fillId="0" borderId="0" xfId="0" applyFont="1" applyAlignment="1"/>
    <xf numFmtId="165" fontId="12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0" fontId="17" fillId="0" borderId="0" xfId="0" applyFont="1" applyAlignment="1"/>
    <xf numFmtId="164" fontId="18" fillId="0" borderId="0" xfId="0" applyNumberFormat="1" applyFont="1" applyAlignment="1">
      <alignment horizontal="right" vertical="center"/>
    </xf>
    <xf numFmtId="164" fontId="19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166" fontId="12" fillId="0" borderId="0" xfId="0" applyNumberFormat="1" applyFont="1" applyAlignment="1">
      <alignment horizontal="right" vertical="center"/>
    </xf>
    <xf numFmtId="167" fontId="6" fillId="0" borderId="0" xfId="0" applyNumberFormat="1" applyFont="1" applyAlignment="1">
      <alignment horizontal="right" vertical="center"/>
    </xf>
    <xf numFmtId="164" fontId="7" fillId="6" borderId="0" xfId="0" applyNumberFormat="1" applyFont="1" applyFill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165" fontId="4" fillId="5" borderId="0" xfId="0" applyNumberFormat="1" applyFont="1" applyFill="1" applyAlignment="1">
      <alignment horizontal="right" vertical="center"/>
    </xf>
    <xf numFmtId="4" fontId="22" fillId="6" borderId="0" xfId="0" applyNumberFormat="1" applyFont="1" applyFill="1" applyAlignment="1">
      <alignment horizontal="right" vertical="center"/>
    </xf>
    <xf numFmtId="0" fontId="10" fillId="6" borderId="0" xfId="0" applyFont="1" applyFill="1" applyAlignment="1"/>
    <xf numFmtId="168" fontId="6" fillId="0" borderId="0" xfId="0" applyNumberFormat="1" applyFont="1" applyAlignment="1">
      <alignment horizontal="right" vertical="center"/>
    </xf>
    <xf numFmtId="164" fontId="5" fillId="3" borderId="0" xfId="0" applyNumberFormat="1" applyFont="1" applyFill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68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8" fontId="12" fillId="6" borderId="0" xfId="0" applyNumberFormat="1" applyFont="1" applyFill="1" applyAlignment="1">
      <alignment horizontal="right" vertical="center"/>
    </xf>
    <xf numFmtId="4" fontId="23" fillId="6" borderId="0" xfId="0" applyNumberFormat="1" applyFont="1" applyFill="1" applyAlignment="1">
      <alignment horizontal="right" vertical="center"/>
    </xf>
    <xf numFmtId="0" fontId="24" fillId="0" borderId="0" xfId="0" applyFont="1" applyAlignment="1"/>
    <xf numFmtId="4" fontId="25" fillId="4" borderId="0" xfId="0" applyNumberFormat="1" applyFont="1" applyFill="1" applyAlignment="1">
      <alignment horizontal="center" vertical="center" wrapText="1"/>
    </xf>
    <xf numFmtId="4" fontId="26" fillId="4" borderId="0" xfId="0" applyNumberFormat="1" applyFont="1" applyFill="1" applyAlignment="1">
      <alignment horizontal="center" vertical="center" wrapText="1"/>
    </xf>
    <xf numFmtId="0" fontId="27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3" fillId="4" borderId="0" xfId="0" applyFont="1" applyFill="1" applyAlignment="1"/>
    <xf numFmtId="4" fontId="25" fillId="5" borderId="0" xfId="0" applyNumberFormat="1" applyFont="1" applyFill="1" applyAlignment="1">
      <alignment horizontal="center" vertical="center" wrapText="1"/>
    </xf>
    <xf numFmtId="4" fontId="26" fillId="5" borderId="0" xfId="0" applyNumberFormat="1" applyFont="1" applyFill="1" applyAlignment="1">
      <alignment horizontal="center" vertical="center" wrapText="1"/>
    </xf>
    <xf numFmtId="0" fontId="27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3" fillId="5" borderId="0" xfId="0" applyFont="1" applyFill="1" applyAlignment="1"/>
    <xf numFmtId="4" fontId="25" fillId="9" borderId="0" xfId="0" applyNumberFormat="1" applyFont="1" applyFill="1" applyAlignment="1">
      <alignment horizontal="center" vertical="center" wrapText="1"/>
    </xf>
    <xf numFmtId="4" fontId="26" fillId="9" borderId="0" xfId="0" applyNumberFormat="1" applyFont="1" applyFill="1" applyAlignment="1">
      <alignment horizontal="center" vertical="center" wrapText="1"/>
    </xf>
    <xf numFmtId="0" fontId="27" fillId="9" borderId="0" xfId="0" applyFont="1" applyFill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13" fillId="9" borderId="0" xfId="0" applyFont="1" applyFill="1" applyAlignment="1"/>
    <xf numFmtId="4" fontId="29" fillId="6" borderId="0" xfId="0" applyNumberFormat="1" applyFont="1" applyFill="1" applyAlignment="1">
      <alignment horizontal="center" vertical="center" wrapText="1"/>
    </xf>
    <xf numFmtId="0" fontId="0" fillId="10" borderId="0" xfId="0" applyFill="1" applyAlignment="1"/>
    <xf numFmtId="0" fontId="30" fillId="11" borderId="0" xfId="0" applyFont="1" applyFill="1" applyAlignment="1"/>
    <xf numFmtId="0" fontId="31" fillId="11" borderId="0" xfId="0" applyFont="1" applyFill="1" applyAlignment="1"/>
    <xf numFmtId="0" fontId="32" fillId="12" borderId="0" xfId="0" applyFont="1" applyFill="1" applyAlignment="1">
      <alignment horizontal="center" vertical="center" wrapText="1"/>
    </xf>
    <xf numFmtId="164" fontId="15" fillId="14" borderId="0" xfId="0" applyNumberFormat="1" applyFont="1" applyFill="1" applyAlignment="1">
      <alignment horizontal="right" vertical="center"/>
    </xf>
    <xf numFmtId="0" fontId="10" fillId="14" borderId="0" xfId="0" applyFont="1" applyFill="1" applyAlignment="1"/>
    <xf numFmtId="0" fontId="33" fillId="2" borderId="0" xfId="0" applyFont="1" applyFill="1" applyAlignment="1">
      <alignment horizontal="left" vertical="center"/>
    </xf>
    <xf numFmtId="0" fontId="32" fillId="12" borderId="0" xfId="0" applyFont="1" applyFill="1" applyAlignment="1">
      <alignment horizontal="right" vertical="center" wrapText="1"/>
    </xf>
    <xf numFmtId="0" fontId="32" fillId="12" borderId="0" xfId="0" applyFont="1" applyFill="1" applyAlignment="1">
      <alignment horizontal="right"/>
    </xf>
    <xf numFmtId="165" fontId="20" fillId="14" borderId="0" xfId="0" applyNumberFormat="1" applyFont="1" applyFill="1" applyAlignment="1">
      <alignment horizontal="right" vertical="center"/>
    </xf>
    <xf numFmtId="0" fontId="0" fillId="14" borderId="0" xfId="0" applyFill="1" applyAlignment="1"/>
    <xf numFmtId="0" fontId="32" fillId="14" borderId="0" xfId="0" applyFont="1" applyFill="1" applyAlignment="1"/>
    <xf numFmtId="0" fontId="31" fillId="14" borderId="0" xfId="0" applyFont="1" applyFill="1" applyAlignment="1"/>
    <xf numFmtId="164" fontId="5" fillId="3" borderId="0" xfId="0" applyNumberFormat="1" applyFont="1" applyFill="1" applyAlignment="1">
      <alignment horizontal="right" vertical="center" wrapText="1"/>
    </xf>
    <xf numFmtId="164" fontId="5" fillId="15" borderId="0" xfId="0" applyNumberFormat="1" applyFont="1" applyFill="1" applyAlignment="1"/>
    <xf numFmtId="0" fontId="0" fillId="16" borderId="0" xfId="0" applyFill="1" applyAlignment="1"/>
    <xf numFmtId="3" fontId="6" fillId="15" borderId="0" xfId="0" applyNumberFormat="1" applyFont="1" applyFill="1" applyAlignment="1">
      <alignment horizontal="center" vertical="center" wrapText="1"/>
    </xf>
    <xf numFmtId="3" fontId="10" fillId="17" borderId="0" xfId="0" applyNumberFormat="1" applyFont="1" applyFill="1" applyAlignment="1">
      <alignment horizontal="center" vertical="center" wrapText="1"/>
    </xf>
    <xf numFmtId="3" fontId="6" fillId="15" borderId="0" xfId="0" applyNumberFormat="1" applyFont="1" applyFill="1" applyAlignment="1">
      <alignment horizontal="right" vertical="center" wrapText="1"/>
    </xf>
    <xf numFmtId="3" fontId="10" fillId="17" borderId="0" xfId="0" applyNumberFormat="1" applyFont="1" applyFill="1" applyAlignment="1">
      <alignment horizontal="right" vertical="center" wrapText="1"/>
    </xf>
    <xf numFmtId="0" fontId="18" fillId="7" borderId="0" xfId="0" applyFont="1" applyFill="1" applyAlignment="1">
      <alignment horizontal="right" vertical="center" wrapText="1"/>
    </xf>
    <xf numFmtId="165" fontId="18" fillId="7" borderId="0" xfId="0" applyNumberFormat="1" applyFont="1" applyFill="1" applyAlignment="1">
      <alignment horizontal="right" vertical="center" wrapText="1"/>
    </xf>
    <xf numFmtId="168" fontId="18" fillId="7" borderId="0" xfId="0" applyNumberFormat="1" applyFont="1" applyFill="1" applyAlignment="1">
      <alignment horizontal="right" vertical="center" wrapText="1"/>
    </xf>
    <xf numFmtId="164" fontId="18" fillId="7" borderId="0" xfId="0" applyNumberFormat="1" applyFont="1" applyFill="1" applyAlignment="1">
      <alignment horizontal="right" vertical="center" wrapText="1"/>
    </xf>
    <xf numFmtId="0" fontId="18" fillId="8" borderId="0" xfId="0" applyFont="1" applyFill="1" applyAlignment="1">
      <alignment horizontal="right" vertical="center" wrapText="1"/>
    </xf>
    <xf numFmtId="165" fontId="18" fillId="8" borderId="0" xfId="0" applyNumberFormat="1" applyFont="1" applyFill="1" applyAlignment="1">
      <alignment horizontal="right" vertical="center" wrapText="1"/>
    </xf>
    <xf numFmtId="168" fontId="18" fillId="8" borderId="0" xfId="0" applyNumberFormat="1" applyFont="1" applyFill="1" applyAlignment="1">
      <alignment horizontal="right" vertical="center" wrapText="1"/>
    </xf>
    <xf numFmtId="164" fontId="18" fillId="8" borderId="0" xfId="0" applyNumberFormat="1" applyFont="1" applyFill="1" applyAlignment="1">
      <alignment horizontal="right" vertical="center" wrapText="1"/>
    </xf>
    <xf numFmtId="0" fontId="31" fillId="11" borderId="0" xfId="0" applyFont="1" applyFill="1"/>
    <xf numFmtId="0" fontId="34" fillId="1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/>
    </xf>
    <xf numFmtId="0" fontId="11" fillId="14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32" fillId="13" borderId="0" xfId="0" applyFont="1" applyFill="1" applyAlignment="1">
      <alignment horizontal="left" vertical="center"/>
    </xf>
    <xf numFmtId="0" fontId="32" fillId="12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/>
    </xf>
    <xf numFmtId="0" fontId="5" fillId="5" borderId="0" xfId="0" applyFont="1" applyFill="1" applyAlignment="1">
      <alignment horizontal="left" vertical="center"/>
    </xf>
    <xf numFmtId="0" fontId="32" fillId="14" borderId="0" xfId="0" applyFont="1" applyFill="1" applyAlignment="1">
      <alignment horizontal="left" vertical="center"/>
    </xf>
    <xf numFmtId="0" fontId="21" fillId="6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/>
    </xf>
    <xf numFmtId="0" fontId="32" fillId="13" borderId="0" xfId="0" applyFont="1" applyFill="1" applyAlignment="1">
      <alignment horizontal="left"/>
    </xf>
    <xf numFmtId="0" fontId="32" fillId="12" borderId="0" xfId="0" applyFont="1" applyFill="1" applyAlignment="1">
      <alignment horizontal="left" vertical="center"/>
    </xf>
    <xf numFmtId="0" fontId="20" fillId="14" borderId="0" xfId="0" applyFont="1" applyFill="1" applyAlignment="1">
      <alignment horizontal="left"/>
    </xf>
    <xf numFmtId="0" fontId="5" fillId="3" borderId="0" xfId="0" applyFont="1" applyFill="1" applyAlignment="1">
      <alignment horizontal="left" vertical="center"/>
    </xf>
    <xf numFmtId="0" fontId="32" fillId="14" borderId="0" xfId="0" applyFont="1" applyFill="1" applyAlignment="1">
      <alignment horizontal="left"/>
    </xf>
    <xf numFmtId="0" fontId="18" fillId="8" borderId="0" xfId="0" applyFont="1" applyFill="1" applyAlignment="1">
      <alignment horizontal="left" vertical="center"/>
    </xf>
    <xf numFmtId="0" fontId="18" fillId="7" borderId="0" xfId="0" applyFont="1" applyFill="1" applyAlignment="1">
      <alignment horizontal="left" vertical="center"/>
    </xf>
    <xf numFmtId="0" fontId="32" fillId="12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34" fillId="12" borderId="0" xfId="0" applyFont="1" applyFill="1" applyAlignment="1">
      <alignment horizontal="left" vertical="center" wrapText="1"/>
    </xf>
    <xf numFmtId="0" fontId="28" fillId="1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0"/>
      <rgbColor rgb="FFDCE6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1F2D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3"/>
  <sheetViews>
    <sheetView showGridLines="0" zoomScaleNormal="100" workbookViewId="0">
      <selection activeCell="B3" sqref="B3"/>
    </sheetView>
  </sheetViews>
  <sheetFormatPr defaultColWidth="8.7109375" defaultRowHeight="15" x14ac:dyDescent="0.25"/>
  <cols>
    <col min="1" max="1" width="2" style="1" customWidth="1"/>
    <col min="2" max="2" width="32" style="1" customWidth="1"/>
    <col min="3" max="3" width="58" style="1" customWidth="1"/>
  </cols>
  <sheetData>
    <row r="2" spans="2:10" ht="17.25" customHeight="1" x14ac:dyDescent="0.25">
      <c r="B2" s="64" t="s">
        <v>0</v>
      </c>
      <c r="C2" s="3"/>
      <c r="D2" s="3"/>
      <c r="E2" s="3"/>
      <c r="F2" s="3"/>
      <c r="G2" s="3"/>
      <c r="H2" s="3"/>
      <c r="I2" s="3"/>
      <c r="J2" s="3"/>
    </row>
    <row r="3" spans="2:10" ht="16.5" customHeight="1" x14ac:dyDescent="0.25">
      <c r="B3" s="4" t="s">
        <v>1</v>
      </c>
      <c r="C3" s="4"/>
      <c r="D3" s="4"/>
      <c r="E3" s="4"/>
      <c r="F3" s="4"/>
      <c r="G3" s="4"/>
      <c r="H3" s="4"/>
      <c r="I3" s="4"/>
      <c r="J3" s="4"/>
    </row>
    <row r="4" spans="2:10" ht="17.25" customHeight="1" x14ac:dyDescent="0.25">
      <c r="B4" s="88" t="s">
        <v>2</v>
      </c>
      <c r="C4" s="88"/>
      <c r="D4" s="88"/>
      <c r="E4" s="88"/>
      <c r="F4" s="88"/>
      <c r="G4" s="88"/>
      <c r="H4" s="88"/>
      <c r="I4" s="88"/>
      <c r="J4" s="88"/>
    </row>
    <row r="5" spans="2:10" ht="15" customHeight="1" x14ac:dyDescent="0.25"/>
    <row r="6" spans="2:10" ht="15" customHeight="1" x14ac:dyDescent="0.25">
      <c r="B6" s="59" t="s">
        <v>3</v>
      </c>
      <c r="C6" s="60"/>
      <c r="D6" s="58"/>
      <c r="E6" s="58"/>
      <c r="F6" s="58"/>
      <c r="G6" s="58"/>
      <c r="H6" s="58"/>
      <c r="I6" s="58"/>
      <c r="J6" s="58"/>
    </row>
    <row r="7" spans="2:10" ht="15" customHeight="1" x14ac:dyDescent="0.25">
      <c r="B7" s="6" t="s">
        <v>4</v>
      </c>
      <c r="C7" s="7" t="s">
        <v>5</v>
      </c>
      <c r="D7" s="58"/>
      <c r="E7" s="58"/>
      <c r="F7" s="58"/>
      <c r="G7" s="58"/>
      <c r="H7" s="58"/>
      <c r="I7" s="58"/>
      <c r="J7" s="58"/>
    </row>
    <row r="8" spans="2:10" ht="15" customHeight="1" x14ac:dyDescent="0.25">
      <c r="B8" s="6" t="s">
        <v>6</v>
      </c>
      <c r="C8" s="7" t="s">
        <v>7</v>
      </c>
      <c r="D8" s="58"/>
      <c r="E8" s="58"/>
      <c r="F8" s="58"/>
      <c r="G8" s="58"/>
      <c r="H8" s="58"/>
      <c r="I8" s="58"/>
      <c r="J8" s="58"/>
    </row>
    <row r="9" spans="2:10" ht="15" customHeight="1" x14ac:dyDescent="0.25">
      <c r="B9" s="6" t="s">
        <v>8</v>
      </c>
      <c r="C9" s="7" t="s">
        <v>9</v>
      </c>
      <c r="D9" s="58"/>
      <c r="E9" s="58"/>
      <c r="F9" s="58"/>
      <c r="G9" s="58"/>
      <c r="H9" s="58"/>
      <c r="I9" s="58"/>
      <c r="J9" s="58"/>
    </row>
    <row r="10" spans="2:10" x14ac:dyDescent="0.25">
      <c r="B10" s="6" t="s">
        <v>10</v>
      </c>
      <c r="C10" s="7" t="s">
        <v>11</v>
      </c>
    </row>
    <row r="11" spans="2:10" ht="15" customHeight="1" x14ac:dyDescent="0.25">
      <c r="B11" s="6" t="s">
        <v>12</v>
      </c>
      <c r="C11" s="7" t="s">
        <v>13</v>
      </c>
    </row>
    <row r="12" spans="2:10" ht="15" customHeight="1" x14ac:dyDescent="0.25">
      <c r="B12" s="6" t="s">
        <v>14</v>
      </c>
      <c r="C12" s="7" t="s">
        <v>15</v>
      </c>
    </row>
    <row r="13" spans="2:10" ht="15" customHeight="1" x14ac:dyDescent="0.25">
      <c r="B13" s="6" t="s">
        <v>16</v>
      </c>
      <c r="C13" s="7" t="s">
        <v>17</v>
      </c>
    </row>
    <row r="14" spans="2:10" ht="15" customHeight="1" x14ac:dyDescent="0.25"/>
    <row r="15" spans="2:10" ht="15" customHeight="1" x14ac:dyDescent="0.25"/>
    <row r="16" spans="2:10" ht="15" customHeight="1" x14ac:dyDescent="0.25">
      <c r="B16" s="59" t="s">
        <v>18</v>
      </c>
      <c r="C16" s="60"/>
    </row>
    <row r="17" spans="2:3" ht="15" customHeight="1" x14ac:dyDescent="0.25">
      <c r="B17" s="6" t="s">
        <v>19</v>
      </c>
      <c r="C17" s="7" t="s">
        <v>20</v>
      </c>
    </row>
    <row r="18" spans="2:3" ht="15" customHeight="1" x14ac:dyDescent="0.25">
      <c r="B18" s="6" t="s">
        <v>21</v>
      </c>
      <c r="C18" s="7" t="s">
        <v>22</v>
      </c>
    </row>
    <row r="19" spans="2:3" x14ac:dyDescent="0.25">
      <c r="B19" s="6" t="s">
        <v>23</v>
      </c>
      <c r="C19" s="7" t="s">
        <v>24</v>
      </c>
    </row>
    <row r="20" spans="2:3" x14ac:dyDescent="0.25">
      <c r="B20" s="6" t="s">
        <v>25</v>
      </c>
      <c r="C20" s="7" t="s">
        <v>26</v>
      </c>
    </row>
    <row r="21" spans="2:3" ht="15" customHeight="1" x14ac:dyDescent="0.25">
      <c r="B21" s="6" t="s">
        <v>27</v>
      </c>
      <c r="C21" s="7" t="s">
        <v>28</v>
      </c>
    </row>
    <row r="22" spans="2:3" ht="15" customHeight="1" x14ac:dyDescent="0.25"/>
    <row r="23" spans="2:3" ht="15" customHeight="1" x14ac:dyDescent="0.25"/>
    <row r="24" spans="2:3" ht="15" customHeight="1" x14ac:dyDescent="0.25">
      <c r="B24" s="59" t="s">
        <v>29</v>
      </c>
      <c r="C24" s="60"/>
    </row>
    <row r="25" spans="2:3" ht="15" customHeight="1" x14ac:dyDescent="0.25">
      <c r="B25" s="8" t="s">
        <v>30</v>
      </c>
      <c r="C25" s="7" t="s">
        <v>31</v>
      </c>
    </row>
    <row r="26" spans="2:3" ht="15" customHeight="1" x14ac:dyDescent="0.25">
      <c r="B26" s="9" t="s">
        <v>32</v>
      </c>
      <c r="C26" s="7" t="s">
        <v>33</v>
      </c>
    </row>
    <row r="27" spans="2:3" x14ac:dyDescent="0.25">
      <c r="B27" s="10" t="s">
        <v>34</v>
      </c>
      <c r="C27" s="7" t="s">
        <v>35</v>
      </c>
    </row>
    <row r="28" spans="2:3" x14ac:dyDescent="0.25">
      <c r="B28" s="11" t="s">
        <v>36</v>
      </c>
      <c r="C28" s="7" t="s">
        <v>37</v>
      </c>
    </row>
    <row r="29" spans="2:3" ht="15" customHeight="1" x14ac:dyDescent="0.25"/>
    <row r="30" spans="2:3" ht="15" customHeight="1" x14ac:dyDescent="0.25"/>
    <row r="31" spans="2:3" ht="15" customHeight="1" x14ac:dyDescent="0.25"/>
    <row r="32" spans="2:3" ht="15" customHeight="1" x14ac:dyDescent="0.25"/>
    <row r="33" ht="15" customHeight="1" x14ac:dyDescent="0.25"/>
  </sheetData>
  <mergeCells count="1">
    <mergeCell ref="B4:J4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9"/>
  <sheetViews>
    <sheetView showGridLines="0" topLeftCell="A11" zoomScaleNormal="100" workbookViewId="0">
      <selection activeCell="D27" sqref="D27"/>
    </sheetView>
  </sheetViews>
  <sheetFormatPr defaultColWidth="8.7109375" defaultRowHeight="15" x14ac:dyDescent="0.25"/>
  <cols>
    <col min="1" max="1" width="2" style="1" customWidth="1"/>
    <col min="2" max="2" width="42" style="1" customWidth="1"/>
    <col min="3" max="3" width="8.85546875" style="1" customWidth="1"/>
    <col min="4" max="4" width="13.85546875" style="1" customWidth="1"/>
    <col min="5" max="5" width="41.7109375" customWidth="1"/>
  </cols>
  <sheetData>
    <row r="2" spans="2:10" ht="11.25" customHeight="1" x14ac:dyDescent="0.25">
      <c r="B2" s="58"/>
      <c r="C2" s="58"/>
      <c r="D2" s="58"/>
      <c r="E2" s="58"/>
      <c r="F2" s="58"/>
      <c r="G2" s="58"/>
      <c r="H2" s="58"/>
      <c r="I2" s="58"/>
      <c r="J2" s="58"/>
    </row>
    <row r="3" spans="2:10" ht="19.5" customHeight="1" x14ac:dyDescent="0.25">
      <c r="B3" s="90" t="s">
        <v>38</v>
      </c>
      <c r="C3" s="90"/>
      <c r="D3" s="90"/>
      <c r="E3" s="90"/>
      <c r="F3" s="90"/>
      <c r="G3" s="90"/>
      <c r="H3" s="90"/>
      <c r="I3" s="90"/>
      <c r="J3" s="90"/>
    </row>
    <row r="4" spans="2:10" ht="13.5" customHeight="1" x14ac:dyDescent="0.25">
      <c r="B4" s="88" t="s">
        <v>39</v>
      </c>
      <c r="C4" s="88"/>
      <c r="D4" s="88"/>
      <c r="E4" s="88"/>
      <c r="F4" s="88"/>
      <c r="G4" s="88"/>
      <c r="H4" s="88"/>
      <c r="I4" s="88"/>
      <c r="J4" s="88"/>
    </row>
    <row r="6" spans="2:10" ht="15.75" customHeight="1" x14ac:dyDescent="0.25">
      <c r="B6" s="92" t="s">
        <v>40</v>
      </c>
      <c r="C6" s="92"/>
      <c r="D6" s="61" t="s">
        <v>41</v>
      </c>
      <c r="E6" s="61" t="s">
        <v>42</v>
      </c>
    </row>
    <row r="8" spans="2:10" ht="15" customHeight="1" x14ac:dyDescent="0.25">
      <c r="B8" s="91" t="s">
        <v>43</v>
      </c>
      <c r="C8" s="91"/>
      <c r="D8" s="91"/>
      <c r="E8" s="91"/>
    </row>
    <row r="9" spans="2:10" ht="15" customHeight="1" x14ac:dyDescent="0.25">
      <c r="B9" s="7" t="s">
        <v>44</v>
      </c>
      <c r="D9" s="13">
        <v>5.5E-2</v>
      </c>
      <c r="E9" s="14" t="s">
        <v>45</v>
      </c>
    </row>
    <row r="10" spans="2:10" ht="15" customHeight="1" x14ac:dyDescent="0.25">
      <c r="B10" s="7" t="s">
        <v>46</v>
      </c>
      <c r="D10" s="13">
        <v>5.5E-2</v>
      </c>
      <c r="E10" s="14" t="s">
        <v>47</v>
      </c>
    </row>
    <row r="11" spans="2:10" ht="15" customHeight="1" x14ac:dyDescent="0.25">
      <c r="B11" s="7" t="s">
        <v>48</v>
      </c>
      <c r="D11" s="15">
        <v>0.85</v>
      </c>
      <c r="E11" s="14" t="s">
        <v>49</v>
      </c>
    </row>
    <row r="12" spans="2:10" ht="15" customHeight="1" x14ac:dyDescent="0.25">
      <c r="B12" s="7" t="s">
        <v>50</v>
      </c>
      <c r="D12" s="13">
        <v>5.0000000000000001E-3</v>
      </c>
      <c r="E12" s="14" t="s">
        <v>51</v>
      </c>
    </row>
    <row r="13" spans="2:10" ht="15" customHeight="1" x14ac:dyDescent="0.25">
      <c r="B13" s="93" t="s">
        <v>52</v>
      </c>
      <c r="C13" s="93"/>
      <c r="D13" s="16">
        <f>D9+D11*D10+D12</f>
        <v>0.10675000000000001</v>
      </c>
      <c r="E13" s="17" t="s">
        <v>53</v>
      </c>
    </row>
    <row r="15" spans="2:10" ht="15" customHeight="1" x14ac:dyDescent="0.25">
      <c r="B15" s="91" t="s">
        <v>54</v>
      </c>
      <c r="C15" s="91"/>
      <c r="D15" s="91"/>
      <c r="E15" s="91"/>
    </row>
    <row r="16" spans="2:10" ht="15" customHeight="1" x14ac:dyDescent="0.25">
      <c r="B16" s="7" t="s">
        <v>55</v>
      </c>
      <c r="D16" s="13">
        <v>5.5E-2</v>
      </c>
      <c r="E16" s="14" t="s">
        <v>56</v>
      </c>
    </row>
    <row r="17" spans="2:5" ht="15" customHeight="1" x14ac:dyDescent="0.25">
      <c r="B17" s="7" t="s">
        <v>57</v>
      </c>
      <c r="D17" s="13">
        <v>0.19</v>
      </c>
      <c r="E17" s="14" t="s">
        <v>58</v>
      </c>
    </row>
    <row r="18" spans="2:5" ht="15" customHeight="1" x14ac:dyDescent="0.25">
      <c r="B18" s="94" t="s">
        <v>59</v>
      </c>
      <c r="C18" s="94"/>
      <c r="D18" s="16">
        <f>D16*(1-D17)</f>
        <v>4.4550000000000006E-2</v>
      </c>
      <c r="E18" s="1"/>
    </row>
    <row r="20" spans="2:5" ht="15" customHeight="1" x14ac:dyDescent="0.25">
      <c r="B20" s="91" t="s">
        <v>60</v>
      </c>
      <c r="C20" s="91"/>
      <c r="D20" s="91"/>
      <c r="E20" s="91"/>
    </row>
    <row r="21" spans="2:5" ht="15" customHeight="1" x14ac:dyDescent="0.25">
      <c r="B21" s="7" t="s">
        <v>61</v>
      </c>
      <c r="D21" s="18">
        <v>14500000</v>
      </c>
      <c r="E21" s="14" t="s">
        <v>62</v>
      </c>
    </row>
    <row r="22" spans="2:5" ht="15" customHeight="1" x14ac:dyDescent="0.25">
      <c r="B22" s="7" t="s">
        <v>63</v>
      </c>
      <c r="D22" s="18">
        <v>987278</v>
      </c>
      <c r="E22" s="14" t="s">
        <v>64</v>
      </c>
    </row>
    <row r="23" spans="2:5" ht="15" customHeight="1" x14ac:dyDescent="0.25">
      <c r="B23" s="7" t="s">
        <v>65</v>
      </c>
      <c r="D23" s="19">
        <f>D21+D22</f>
        <v>15487278</v>
      </c>
      <c r="E23" s="1"/>
    </row>
    <row r="24" spans="2:5" ht="15" customHeight="1" x14ac:dyDescent="0.25">
      <c r="B24" s="7" t="s">
        <v>66</v>
      </c>
      <c r="D24" s="20">
        <f>D21/D23</f>
        <v>0.9362523227128744</v>
      </c>
      <c r="E24" s="1"/>
    </row>
    <row r="25" spans="2:5" ht="15" customHeight="1" x14ac:dyDescent="0.25">
      <c r="B25" s="7" t="s">
        <v>67</v>
      </c>
      <c r="D25" s="20">
        <f>D22/D23</f>
        <v>6.3747677287125604E-2</v>
      </c>
      <c r="E25" s="1"/>
    </row>
    <row r="27" spans="2:5" ht="21.75" customHeight="1" x14ac:dyDescent="0.25">
      <c r="B27" s="89" t="s">
        <v>68</v>
      </c>
      <c r="C27" s="89"/>
      <c r="D27" s="62">
        <f>D13*D24+D18*D25</f>
        <v>0.10278489447274081</v>
      </c>
      <c r="E27" s="63" t="s">
        <v>69</v>
      </c>
    </row>
    <row r="29" spans="2:5" ht="15" customHeight="1" x14ac:dyDescent="0.25">
      <c r="B29" s="17" t="s">
        <v>70</v>
      </c>
    </row>
  </sheetData>
  <mergeCells count="9">
    <mergeCell ref="B27:C27"/>
    <mergeCell ref="B3:J3"/>
    <mergeCell ref="B4:J4"/>
    <mergeCell ref="B8:E8"/>
    <mergeCell ref="B6:C6"/>
    <mergeCell ref="B13:C13"/>
    <mergeCell ref="B15:E15"/>
    <mergeCell ref="B18:C18"/>
    <mergeCell ref="B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9"/>
  <sheetViews>
    <sheetView showGridLines="0" tabSelected="1" topLeftCell="B22" zoomScale="91" zoomScaleNormal="100" workbookViewId="0">
      <selection activeCell="D32" sqref="D32"/>
    </sheetView>
  </sheetViews>
  <sheetFormatPr defaultColWidth="8.7109375" defaultRowHeight="15" x14ac:dyDescent="0.25"/>
  <cols>
    <col min="1" max="1" width="2" style="1" customWidth="1"/>
    <col min="2" max="2" width="38" style="1" customWidth="1"/>
    <col min="3" max="10" width="12" style="1" customWidth="1"/>
    <col min="11" max="11" width="18" style="1" customWidth="1"/>
  </cols>
  <sheetData>
    <row r="2" spans="2:12" ht="4.5" customHeight="1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2:12" ht="19.5" customHeight="1" x14ac:dyDescent="0.25">
      <c r="B3" s="12" t="s">
        <v>71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2:12" ht="13.5" customHeight="1" x14ac:dyDescent="0.25">
      <c r="B4" s="5" t="s">
        <v>72</v>
      </c>
      <c r="C4" s="2"/>
      <c r="D4" s="2"/>
      <c r="E4" s="2"/>
      <c r="F4" s="2"/>
      <c r="G4" s="2"/>
      <c r="H4" s="2"/>
      <c r="I4" s="2"/>
      <c r="J4" s="2"/>
      <c r="K4" s="2"/>
      <c r="L4" s="2"/>
    </row>
    <row r="6" spans="2:12" ht="18" customHeight="1" x14ac:dyDescent="0.25">
      <c r="B6" s="99" t="s">
        <v>73</v>
      </c>
      <c r="C6" s="99"/>
      <c r="D6" s="65" t="s">
        <v>74</v>
      </c>
      <c r="E6" s="65" t="s">
        <v>75</v>
      </c>
      <c r="F6" s="65" t="s">
        <v>76</v>
      </c>
      <c r="G6" s="65" t="s">
        <v>77</v>
      </c>
      <c r="H6" s="65" t="s">
        <v>78</v>
      </c>
      <c r="I6" s="65" t="s">
        <v>79</v>
      </c>
      <c r="J6" s="65" t="s">
        <v>80</v>
      </c>
      <c r="K6" s="66" t="s">
        <v>81</v>
      </c>
    </row>
    <row r="8" spans="2:12" ht="15" customHeight="1" x14ac:dyDescent="0.25">
      <c r="B8" s="91" t="s">
        <v>82</v>
      </c>
      <c r="C8" s="91"/>
      <c r="D8" s="91"/>
      <c r="E8" s="91"/>
      <c r="F8" s="91"/>
      <c r="G8" s="91"/>
      <c r="H8" s="91"/>
      <c r="I8" s="91"/>
      <c r="J8" s="91"/>
      <c r="K8" s="91"/>
    </row>
    <row r="9" spans="2:12" ht="15" customHeight="1" x14ac:dyDescent="0.25">
      <c r="B9" s="7" t="s">
        <v>83</v>
      </c>
      <c r="D9" s="21">
        <v>39233204</v>
      </c>
      <c r="E9" s="21">
        <v>44763943</v>
      </c>
      <c r="F9" s="21">
        <v>50166222</v>
      </c>
      <c r="G9" s="19">
        <f>F9*(1+G10)</f>
        <v>55182844.200000003</v>
      </c>
      <c r="H9" s="19">
        <f>G9*(1+H10)</f>
        <v>60149300.178000011</v>
      </c>
      <c r="I9" s="19">
        <f>H9*(1+I10)</f>
        <v>64961244.192240015</v>
      </c>
      <c r="J9" s="19">
        <f>I9*(1+J10)</f>
        <v>69508531.285696819</v>
      </c>
      <c r="K9" s="17" t="s">
        <v>84</v>
      </c>
    </row>
    <row r="10" spans="2:12" ht="15" customHeight="1" x14ac:dyDescent="0.25">
      <c r="B10" s="22" t="s">
        <v>85</v>
      </c>
      <c r="D10" s="23" t="s">
        <v>86</v>
      </c>
      <c r="E10" s="23">
        <f>E9/D9-1</f>
        <v>0.14097087252929952</v>
      </c>
      <c r="F10" s="23">
        <f>F9/E9-1</f>
        <v>0.12068371635626463</v>
      </c>
      <c r="G10" s="24">
        <v>0.1</v>
      </c>
      <c r="H10" s="24">
        <v>0.09</v>
      </c>
      <c r="I10" s="24">
        <v>0.08</v>
      </c>
      <c r="J10" s="24">
        <v>7.0000000000000007E-2</v>
      </c>
    </row>
    <row r="11" spans="2:12" ht="15" customHeight="1" x14ac:dyDescent="0.25">
      <c r="B11" s="7" t="s">
        <v>87</v>
      </c>
      <c r="D11" s="21">
        <v>2471692</v>
      </c>
      <c r="E11" s="21">
        <v>2909656</v>
      </c>
      <c r="F11" s="21">
        <v>3411303</v>
      </c>
      <c r="G11" s="19">
        <f>G9*G12</f>
        <v>3752433.4056000006</v>
      </c>
      <c r="H11" s="19">
        <f>H9*H12</f>
        <v>4210451.0124600008</v>
      </c>
      <c r="I11" s="19">
        <f>I9*I12</f>
        <v>4677209.5818412807</v>
      </c>
      <c r="J11" s="19">
        <f>J9*J12</f>
        <v>5143631.3151415642</v>
      </c>
    </row>
    <row r="12" spans="2:12" ht="15" customHeight="1" x14ac:dyDescent="0.25">
      <c r="B12" s="22" t="s">
        <v>88</v>
      </c>
      <c r="D12" s="23">
        <f>D11/D9</f>
        <v>6.3000003772314905E-2</v>
      </c>
      <c r="E12" s="23">
        <f>E11/E9</f>
        <v>6.4999993409874557E-2</v>
      </c>
      <c r="F12" s="23">
        <f>F11/F9</f>
        <v>6.7999998086361771E-2</v>
      </c>
      <c r="G12" s="24">
        <v>6.8000000000000005E-2</v>
      </c>
      <c r="H12" s="24">
        <v>7.0000000000000007E-2</v>
      </c>
      <c r="I12" s="24">
        <v>7.1999999999999995E-2</v>
      </c>
      <c r="J12" s="24">
        <v>7.3999999999999996E-2</v>
      </c>
    </row>
    <row r="13" spans="2:12" ht="15" customHeight="1" x14ac:dyDescent="0.25">
      <c r="B13" s="9" t="s">
        <v>89</v>
      </c>
      <c r="D13" s="25">
        <f t="shared" ref="D13:J13" si="0">D11*(1-0.19)</f>
        <v>2002070.52</v>
      </c>
      <c r="E13" s="25">
        <f t="shared" si="0"/>
        <v>2356821.3600000003</v>
      </c>
      <c r="F13" s="25">
        <f t="shared" si="0"/>
        <v>2763155.43</v>
      </c>
      <c r="G13" s="25">
        <f t="shared" si="0"/>
        <v>3039471.0585360005</v>
      </c>
      <c r="H13" s="25">
        <f t="shared" si="0"/>
        <v>3410465.3200926008</v>
      </c>
      <c r="I13" s="25">
        <f t="shared" si="0"/>
        <v>3788539.7612914378</v>
      </c>
      <c r="J13" s="25">
        <f t="shared" si="0"/>
        <v>4166341.3652646672</v>
      </c>
    </row>
    <row r="14" spans="2:12" ht="15" customHeight="1" x14ac:dyDescent="0.25">
      <c r="B14" s="7" t="s">
        <v>90</v>
      </c>
      <c r="D14" s="21">
        <v>627731</v>
      </c>
      <c r="E14" s="21">
        <v>671459</v>
      </c>
      <c r="F14" s="21">
        <v>752493</v>
      </c>
      <c r="G14" s="19">
        <f>G9*G15</f>
        <v>827742.66300000006</v>
      </c>
      <c r="H14" s="19">
        <f>H9*H15</f>
        <v>902239.50267000007</v>
      </c>
      <c r="I14" s="19">
        <f>I9*I15</f>
        <v>909457.41869136028</v>
      </c>
      <c r="J14" s="19">
        <f>J9*J15</f>
        <v>973119.43799975549</v>
      </c>
    </row>
    <row r="15" spans="2:12" ht="15" customHeight="1" x14ac:dyDescent="0.25">
      <c r="B15" s="22" t="s">
        <v>91</v>
      </c>
      <c r="D15" s="23">
        <f>D14/D9</f>
        <v>1.5999993271005854E-2</v>
      </c>
      <c r="E15" s="23">
        <f>E14/E9</f>
        <v>1.4999996760785795E-2</v>
      </c>
      <c r="F15" s="23">
        <f>F14/F9</f>
        <v>1.4999993421868604E-2</v>
      </c>
      <c r="G15" s="24">
        <v>1.4999999999999999E-2</v>
      </c>
      <c r="H15" s="24">
        <v>1.4999999999999999E-2</v>
      </c>
      <c r="I15" s="24">
        <v>1.4E-2</v>
      </c>
      <c r="J15" s="24">
        <v>1.4E-2</v>
      </c>
    </row>
    <row r="16" spans="2:12" ht="15" customHeight="1" x14ac:dyDescent="0.25">
      <c r="B16" s="7" t="s">
        <v>92</v>
      </c>
      <c r="D16" s="21">
        <v>-2353992</v>
      </c>
      <c r="E16" s="21">
        <v>-2596309</v>
      </c>
      <c r="F16" s="21">
        <v>-2759142</v>
      </c>
      <c r="G16" s="19">
        <f>G9*G17</f>
        <v>-2924690.7426</v>
      </c>
      <c r="H16" s="19">
        <f>H9*H17</f>
        <v>-3067614.3090780005</v>
      </c>
      <c r="I16" s="19">
        <f>I9*I17</f>
        <v>-3183100.9654197609</v>
      </c>
      <c r="J16" s="19">
        <f>J9*J17</f>
        <v>-3266900.9704277506</v>
      </c>
    </row>
    <row r="17" spans="2:11" ht="15" customHeight="1" x14ac:dyDescent="0.25">
      <c r="B17" s="22" t="s">
        <v>93</v>
      </c>
      <c r="D17" s="23">
        <f>D16/D9</f>
        <v>-5.9999993882732597E-2</v>
      </c>
      <c r="E17" s="23">
        <f>E16/E9</f>
        <v>-5.8000006835858944E-2</v>
      </c>
      <c r="F17" s="23">
        <f>F16/F9</f>
        <v>-5.4999995813916382E-2</v>
      </c>
      <c r="G17" s="24">
        <v>-5.2999999999999999E-2</v>
      </c>
      <c r="H17" s="24">
        <v>-5.0999999999999997E-2</v>
      </c>
      <c r="I17" s="24">
        <v>-4.9000000000000002E-2</v>
      </c>
      <c r="J17" s="24">
        <v>-4.7E-2</v>
      </c>
    </row>
    <row r="18" spans="2:11" ht="15" customHeight="1" x14ac:dyDescent="0.25">
      <c r="B18" s="7" t="s">
        <v>94</v>
      </c>
      <c r="D18" s="21">
        <v>-454814</v>
      </c>
      <c r="E18" s="21">
        <v>0</v>
      </c>
      <c r="F18" s="21">
        <v>0</v>
      </c>
      <c r="G18" s="19">
        <f>G9*G19</f>
        <v>-551828.44200000004</v>
      </c>
      <c r="H18" s="19">
        <f>H9*H19</f>
        <v>-541343.70160200004</v>
      </c>
      <c r="I18" s="19">
        <f>I9*I19</f>
        <v>-519689.95353792014</v>
      </c>
      <c r="J18" s="19">
        <f>J9*J19</f>
        <v>-486559.71899987775</v>
      </c>
    </row>
    <row r="19" spans="2:11" ht="15" customHeight="1" x14ac:dyDescent="0.25">
      <c r="B19" s="22" t="s">
        <v>95</v>
      </c>
      <c r="D19" s="23">
        <f>IF(D9=0,0,D18/D9)</f>
        <v>-1.1592578571966746E-2</v>
      </c>
      <c r="E19" s="23">
        <f>IF(E9=0,0,E18/E9)</f>
        <v>0</v>
      </c>
      <c r="F19" s="23">
        <f>IF(F9=0,0,F18/F9)</f>
        <v>0</v>
      </c>
      <c r="G19" s="24">
        <v>-0.01</v>
      </c>
      <c r="H19" s="24">
        <v>-8.9999999999999993E-3</v>
      </c>
      <c r="I19" s="24">
        <v>-8.0000000000000002E-3</v>
      </c>
      <c r="J19" s="24">
        <v>-7.0000000000000001E-3</v>
      </c>
    </row>
    <row r="20" spans="2:11" ht="15" customHeight="1" x14ac:dyDescent="0.25">
      <c r="B20" s="100" t="s">
        <v>96</v>
      </c>
      <c r="C20" s="100"/>
      <c r="D20" s="67">
        <f t="shared" ref="D20:J20" si="1">D13+D14+D16+D18</f>
        <v>-179004.47999999998</v>
      </c>
      <c r="E20" s="67">
        <f t="shared" si="1"/>
        <v>431971.36000000034</v>
      </c>
      <c r="F20" s="67">
        <f t="shared" si="1"/>
        <v>756506.43000000017</v>
      </c>
      <c r="G20" s="67">
        <f t="shared" si="1"/>
        <v>390694.53693600069</v>
      </c>
      <c r="H20" s="67">
        <f t="shared" si="1"/>
        <v>703746.81208260055</v>
      </c>
      <c r="I20" s="67">
        <f t="shared" si="1"/>
        <v>995206.26102511713</v>
      </c>
      <c r="J20" s="67">
        <f t="shared" si="1"/>
        <v>1386000.1138367939</v>
      </c>
      <c r="K20" s="68"/>
    </row>
    <row r="22" spans="2:11" ht="15" customHeight="1" x14ac:dyDescent="0.25">
      <c r="B22" s="91" t="s">
        <v>97</v>
      </c>
      <c r="C22" s="91"/>
      <c r="D22" s="91"/>
      <c r="E22" s="91"/>
      <c r="F22" s="91"/>
      <c r="G22" s="91"/>
      <c r="H22" s="91"/>
      <c r="I22" s="91"/>
      <c r="J22" s="91"/>
      <c r="K22" s="91"/>
    </row>
    <row r="23" spans="2:11" ht="15" customHeight="1" x14ac:dyDescent="0.25">
      <c r="B23" s="7" t="s">
        <v>68</v>
      </c>
      <c r="D23" s="26">
        <f>'WACC Build-Up'!D27</f>
        <v>0.10278489447274081</v>
      </c>
      <c r="E23" s="17" t="s">
        <v>98</v>
      </c>
    </row>
    <row r="24" spans="2:11" ht="15" customHeight="1" x14ac:dyDescent="0.25">
      <c r="B24" s="7" t="s">
        <v>99</v>
      </c>
      <c r="D24" s="27">
        <v>0.5</v>
      </c>
      <c r="E24" s="27">
        <v>1.5</v>
      </c>
      <c r="F24" s="27">
        <v>2.5</v>
      </c>
      <c r="G24" s="27">
        <v>3.5</v>
      </c>
      <c r="H24" s="27">
        <v>4.5</v>
      </c>
      <c r="I24" s="27">
        <v>5.5</v>
      </c>
      <c r="J24" s="27">
        <v>6.5</v>
      </c>
    </row>
    <row r="25" spans="2:11" ht="15" customHeight="1" x14ac:dyDescent="0.25">
      <c r="B25" s="7" t="s">
        <v>100</v>
      </c>
      <c r="D25" s="28">
        <f t="shared" ref="D25:J25" si="2">1/(1+$D$23)^D24</f>
        <v>0.95225792494528139</v>
      </c>
      <c r="E25" s="28">
        <f t="shared" si="2"/>
        <v>0.86350287324217601</v>
      </c>
      <c r="F25" s="28">
        <f t="shared" si="2"/>
        <v>0.78302022232090018</v>
      </c>
      <c r="G25" s="28">
        <f t="shared" si="2"/>
        <v>0.71003894435394388</v>
      </c>
      <c r="H25" s="28">
        <f t="shared" si="2"/>
        <v>0.64385987504247144</v>
      </c>
      <c r="I25" s="28">
        <f t="shared" si="2"/>
        <v>0.58384901558731561</v>
      </c>
      <c r="J25" s="28">
        <f t="shared" si="2"/>
        <v>0.52943145894872212</v>
      </c>
    </row>
    <row r="26" spans="2:11" ht="15" customHeight="1" x14ac:dyDescent="0.25">
      <c r="B26" s="9" t="s">
        <v>101</v>
      </c>
      <c r="D26" s="25">
        <f t="shared" ref="D26:J26" si="3">D20*D25</f>
        <v>-170458.43468070909</v>
      </c>
      <c r="E26" s="25">
        <f t="shared" si="3"/>
        <v>373008.51051833067</v>
      </c>
      <c r="F26" s="25">
        <f t="shared" si="3"/>
        <v>592359.8330057906</v>
      </c>
      <c r="G26" s="25">
        <f t="shared" si="3"/>
        <v>277408.33657089085</v>
      </c>
      <c r="H26" s="25">
        <f t="shared" si="3"/>
        <v>453114.33448904083</v>
      </c>
      <c r="I26" s="25">
        <f t="shared" si="3"/>
        <v>581050.19580584764</v>
      </c>
      <c r="J26" s="25">
        <f t="shared" si="3"/>
        <v>733792.0623717088</v>
      </c>
    </row>
    <row r="28" spans="2:11" ht="15" customHeight="1" x14ac:dyDescent="0.25">
      <c r="B28" s="91" t="s">
        <v>102</v>
      </c>
      <c r="C28" s="91"/>
      <c r="D28" s="91"/>
      <c r="E28" s="91"/>
      <c r="F28" s="91"/>
      <c r="G28" s="91"/>
      <c r="H28" s="91"/>
      <c r="I28" s="91"/>
      <c r="J28" s="91"/>
      <c r="K28" s="91"/>
    </row>
    <row r="29" spans="2:11" ht="15" customHeight="1" x14ac:dyDescent="0.25">
      <c r="B29" s="7" t="s">
        <v>103</v>
      </c>
      <c r="D29" s="29">
        <v>0.03</v>
      </c>
      <c r="E29" s="17" t="s">
        <v>104</v>
      </c>
    </row>
    <row r="30" spans="2:11" ht="15" customHeight="1" x14ac:dyDescent="0.25">
      <c r="B30" s="7" t="s">
        <v>105</v>
      </c>
      <c r="D30" s="19">
        <f>J20*(1+D29)</f>
        <v>1427580.1172518977</v>
      </c>
    </row>
    <row r="31" spans="2:11" ht="15" customHeight="1" x14ac:dyDescent="0.25">
      <c r="B31" s="9" t="s">
        <v>106</v>
      </c>
      <c r="D31" s="25">
        <f>D30/(D23-D29)</f>
        <v>19613686.707845002</v>
      </c>
    </row>
    <row r="32" spans="2:11" ht="15" customHeight="1" x14ac:dyDescent="0.25">
      <c r="B32" s="6" t="s">
        <v>107</v>
      </c>
      <c r="D32" s="30">
        <f>D31/(1+D23)^7</f>
        <v>9888344.1553193703</v>
      </c>
    </row>
    <row r="34" spans="2:11" ht="15" customHeight="1" x14ac:dyDescent="0.25">
      <c r="B34" s="7" t="s">
        <v>108</v>
      </c>
      <c r="D34" s="20">
        <f>D32/(SUM(D26:J26)+D32)</f>
        <v>0.77685915184093668</v>
      </c>
    </row>
    <row r="36" spans="2:11" ht="15" customHeight="1" x14ac:dyDescent="0.25">
      <c r="B36" s="95" t="s">
        <v>109</v>
      </c>
      <c r="C36" s="95"/>
      <c r="D36" s="95"/>
      <c r="E36" s="95"/>
      <c r="F36" s="95"/>
      <c r="G36" s="95"/>
      <c r="H36" s="95"/>
      <c r="I36" s="95"/>
      <c r="J36" s="95"/>
      <c r="K36" s="95"/>
    </row>
    <row r="37" spans="2:11" ht="15" customHeight="1" x14ac:dyDescent="0.25">
      <c r="B37" s="7" t="s">
        <v>110</v>
      </c>
      <c r="D37" s="19">
        <f>SUM(D26:J26)</f>
        <v>2840274.8380809003</v>
      </c>
    </row>
    <row r="38" spans="2:11" ht="15" customHeight="1" x14ac:dyDescent="0.25">
      <c r="B38" s="7" t="s">
        <v>111</v>
      </c>
      <c r="D38" s="19">
        <f>D32</f>
        <v>9888344.1553193703</v>
      </c>
    </row>
    <row r="39" spans="2:11" ht="15" customHeight="1" x14ac:dyDescent="0.25">
      <c r="B39" s="97" t="s">
        <v>112</v>
      </c>
      <c r="C39" s="97"/>
      <c r="D39" s="31">
        <f>D37+D38</f>
        <v>12728618.99340027</v>
      </c>
    </row>
    <row r="40" spans="2:11" ht="15" customHeight="1" x14ac:dyDescent="0.25">
      <c r="B40" s="7" t="s">
        <v>113</v>
      </c>
      <c r="D40" s="18">
        <v>32464</v>
      </c>
      <c r="E40" s="17" t="s">
        <v>114</v>
      </c>
    </row>
    <row r="41" spans="2:11" ht="15" customHeight="1" x14ac:dyDescent="0.25">
      <c r="B41" s="7" t="s">
        <v>115</v>
      </c>
      <c r="D41" s="18">
        <v>17720</v>
      </c>
      <c r="E41" s="17" t="s">
        <v>116</v>
      </c>
    </row>
    <row r="42" spans="2:11" ht="15" customHeight="1" x14ac:dyDescent="0.25">
      <c r="B42" s="97" t="s">
        <v>117</v>
      </c>
      <c r="C42" s="97"/>
      <c r="D42" s="31">
        <f>D39-D40-D41</f>
        <v>12678434.99340027</v>
      </c>
    </row>
    <row r="43" spans="2:11" ht="15" customHeight="1" x14ac:dyDescent="0.25">
      <c r="B43" s="7" t="s">
        <v>118</v>
      </c>
      <c r="D43" s="18">
        <v>98040</v>
      </c>
      <c r="E43" s="17" t="s">
        <v>119</v>
      </c>
    </row>
    <row r="44" spans="2:11" ht="21.75" customHeight="1" x14ac:dyDescent="0.25">
      <c r="B44" s="96" t="s">
        <v>120</v>
      </c>
      <c r="C44" s="96"/>
      <c r="D44" s="32">
        <f>D42/D43*1000</f>
        <v>129319.0023806637</v>
      </c>
      <c r="E44" s="33" t="s">
        <v>121</v>
      </c>
    </row>
    <row r="46" spans="2:11" ht="15" customHeight="1" x14ac:dyDescent="0.25">
      <c r="B46" s="98" t="s">
        <v>122</v>
      </c>
      <c r="C46" s="98"/>
      <c r="D46" s="98"/>
      <c r="E46" s="98"/>
      <c r="F46" s="98"/>
      <c r="G46" s="98"/>
      <c r="H46" s="98"/>
      <c r="I46" s="98"/>
      <c r="J46" s="98"/>
      <c r="K46" s="98"/>
    </row>
    <row r="47" spans="2:11" ht="15" customHeight="1" x14ac:dyDescent="0.25">
      <c r="B47" s="7" t="s">
        <v>123</v>
      </c>
      <c r="D47" s="34">
        <f>D39/2546313</f>
        <v>4.9988430304523721</v>
      </c>
    </row>
    <row r="48" spans="2:11" ht="15" customHeight="1" x14ac:dyDescent="0.25">
      <c r="B48" s="7" t="s">
        <v>124</v>
      </c>
      <c r="D48" s="34">
        <f>D39/2041282</f>
        <v>6.2356004674514693</v>
      </c>
    </row>
    <row r="49" spans="2:4" ht="15" customHeight="1" x14ac:dyDescent="0.25">
      <c r="B49" s="7" t="s">
        <v>125</v>
      </c>
      <c r="D49" s="34">
        <f>D42/1558797</f>
        <v>8.1334740786646815</v>
      </c>
    </row>
  </sheetData>
  <mergeCells count="10">
    <mergeCell ref="B6:C6"/>
    <mergeCell ref="B20:C20"/>
    <mergeCell ref="B8:K8"/>
    <mergeCell ref="B22:K22"/>
    <mergeCell ref="B28:K28"/>
    <mergeCell ref="B36:K36"/>
    <mergeCell ref="B44:C44"/>
    <mergeCell ref="B42:C42"/>
    <mergeCell ref="B39:C39"/>
    <mergeCell ref="B46:K4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6"/>
  <sheetViews>
    <sheetView showGridLines="0" topLeftCell="A6" zoomScaleNormal="100" workbookViewId="0">
      <selection activeCell="B7" sqref="B7:C7"/>
    </sheetView>
  </sheetViews>
  <sheetFormatPr defaultColWidth="8.7109375" defaultRowHeight="15" x14ac:dyDescent="0.25"/>
  <cols>
    <col min="1" max="1" width="2" style="1" customWidth="1"/>
    <col min="2" max="2" width="28" style="1" customWidth="1"/>
    <col min="3" max="11" width="13" style="1" customWidth="1"/>
  </cols>
  <sheetData>
    <row r="2" spans="2:12" ht="4.5" customHeight="1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2:12" ht="19.5" customHeight="1" x14ac:dyDescent="0.25">
      <c r="B3" s="12" t="s">
        <v>126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2:12" ht="13.5" customHeight="1" x14ac:dyDescent="0.25">
      <c r="B4" s="5" t="s">
        <v>127</v>
      </c>
      <c r="C4" s="2"/>
      <c r="D4" s="2"/>
      <c r="E4" s="2"/>
      <c r="F4" s="2"/>
      <c r="G4" s="2"/>
      <c r="H4" s="2"/>
      <c r="I4" s="2"/>
      <c r="J4" s="2"/>
      <c r="K4" s="2"/>
      <c r="L4" s="2"/>
    </row>
    <row r="6" spans="2:12" ht="15" customHeight="1" x14ac:dyDescent="0.25">
      <c r="B6" s="102" t="s">
        <v>128</v>
      </c>
      <c r="C6" s="102"/>
      <c r="D6" s="102"/>
      <c r="E6" s="102"/>
      <c r="F6" s="102"/>
      <c r="G6" s="102"/>
      <c r="H6" s="102"/>
      <c r="I6" s="102"/>
      <c r="J6" s="102"/>
    </row>
    <row r="7" spans="2:12" ht="15" customHeight="1" x14ac:dyDescent="0.25">
      <c r="B7" s="101" t="s">
        <v>129</v>
      </c>
      <c r="C7" s="101"/>
      <c r="D7" s="71">
        <v>0.02</v>
      </c>
      <c r="E7" s="71">
        <v>2.5000000000000001E-2</v>
      </c>
      <c r="F7" s="71">
        <v>0.03</v>
      </c>
      <c r="G7" s="71">
        <v>3.5000000000000003E-2</v>
      </c>
      <c r="H7" s="71">
        <v>0.04</v>
      </c>
    </row>
    <row r="8" spans="2:12" ht="15" customHeight="1" x14ac:dyDescent="0.25">
      <c r="B8" s="72">
        <v>7.0000000000000007E-2</v>
      </c>
      <c r="C8" s="73"/>
      <c r="D8" s="76">
        <f>('DCF Valuation'!D20/(1+0.07)^0.5 + 'DCF Valuation'!E20/(1+0.07)^1.5 + 'DCF Valuation'!F20/(1+0.07)^2.5 + 'DCF Valuation'!G20/(1+0.07)^3.5 + 'DCF Valuation'!H20/(1+0.07)^4.5 + 'DCF Valuation'!I20/(1+0.07)^5.5 + 'DCF Valuation'!J20/(1+0.07)^6.5+'DCF Valuation'!J20*(1+0.02)/(0.07-0.02)/(1+0.07)^7-32464-17720)/98040*1000</f>
        <v>212360.71479125216</v>
      </c>
      <c r="E8" s="76">
        <f>('DCF Valuation'!D20/(1+0.07)^0.5 + 'DCF Valuation'!E20/(1+0.07)^1.5 + 'DCF Valuation'!F20/(1+0.07)^2.5 + 'DCF Valuation'!G20/(1+0.07)^3.5 + 'DCF Valuation'!H20/(1+0.07)^4.5 + 'DCF Valuation'!I20/(1+0.07)^5.5 + 'DCF Valuation'!J20/(1+0.07)^6.5+'DCF Valuation'!J20*(1+0.025)/(0.07-0.025)/(1+0.07)^7-32464-17720)/98040*1000</f>
        <v>233294.35634490254</v>
      </c>
      <c r="F8" s="76">
        <f>('DCF Valuation'!D20/(1+0.07)^0.5 + 'DCF Valuation'!E20/(1+0.07)^1.5 + 'DCF Valuation'!F20/(1+0.07)^2.5 + 'DCF Valuation'!G20/(1+0.07)^3.5 + 'DCF Valuation'!H20/(1+0.07)^4.5 + 'DCF Valuation'!I20/(1+0.07)^5.5 + 'DCF Valuation'!J20/(1+0.07)^6.5+'DCF Valuation'!J20*(1+0.03)/(0.07-0.03)/(1+0.07)^7-32464-17720)/98040*1000</f>
        <v>259461.40828696554</v>
      </c>
      <c r="G8" s="76">
        <f>('DCF Valuation'!D20/(1+0.07)^0.5 + 'DCF Valuation'!E20/(1+0.07)^1.5 + 'DCF Valuation'!F20/(1+0.07)^2.5 + 'DCF Valuation'!G20/(1+0.07)^3.5 + 'DCF Valuation'!H20/(1+0.07)^4.5 + 'DCF Valuation'!I20/(1+0.07)^5.5 + 'DCF Valuation'!J20/(1+0.07)^6.5+'DCF Valuation'!J20*(1+0.035)/(0.07-0.035)/(1+0.07)^7-32464-17720)/98040*1000</f>
        <v>293104.76078390365</v>
      </c>
      <c r="H8" s="76">
        <f>('DCF Valuation'!D20/(1+0.07)^0.5 + 'DCF Valuation'!E20/(1+0.07)^1.5 + 'DCF Valuation'!F20/(1+0.07)^2.5 + 'DCF Valuation'!G20/(1+0.07)^3.5 + 'DCF Valuation'!H20/(1+0.07)^4.5 + 'DCF Valuation'!I20/(1+0.07)^5.5 + 'DCF Valuation'!J20/(1+0.07)^6.5+'DCF Valuation'!J20*(1+0.04)/(0.07-0.04)/(1+0.07)^7-32464-17720)/98040*1000</f>
        <v>337962.56411315454</v>
      </c>
    </row>
    <row r="9" spans="2:12" ht="15" customHeight="1" x14ac:dyDescent="0.25">
      <c r="B9" s="72">
        <v>7.4999999999999997E-2</v>
      </c>
      <c r="C9" s="73"/>
      <c r="D9" s="76">
        <f>('DCF Valuation'!D20/(1+0.075)^0.5 + 'DCF Valuation'!E20/(1+0.075)^1.5 + 'DCF Valuation'!F20/(1+0.075)^2.5 + 'DCF Valuation'!G20/(1+0.075)^3.5 + 'DCF Valuation'!H20/(1+0.075)^4.5 + 'DCF Valuation'!I20/(1+0.075)^5.5 + 'DCF Valuation'!J20/(1+0.075)^6.5+'DCF Valuation'!J20*(1+0.02)/(0.075-0.02)/(1+0.075)^7-32464-17720)/98040*1000</f>
        <v>190082.43702943798</v>
      </c>
      <c r="E9" s="76">
        <f>('DCF Valuation'!D20/(1+0.075)^0.5 + 'DCF Valuation'!E20/(1+0.075)^1.5 + 'DCF Valuation'!F20/(1+0.075)^2.5 + 'DCF Valuation'!G20/(1+0.075)^3.5 + 'DCF Valuation'!H20/(1+0.075)^4.5 + 'DCF Valuation'!I20/(1+0.075)^5.5 + 'DCF Valuation'!J20/(1+0.075)^6.5+'DCF Valuation'!J20*(1+0.025)/(0.075-0.025)/(1+0.075)^7-32464-17720)/98040*1000</f>
        <v>206737.50802744736</v>
      </c>
      <c r="F9" s="76">
        <f>('DCF Valuation'!D20/(1+0.075)^0.5 + 'DCF Valuation'!E20/(1+0.075)^1.5 + 'DCF Valuation'!F20/(1+0.075)^2.5 + 'DCF Valuation'!G20/(1+0.075)^3.5 + 'DCF Valuation'!H20/(1+0.075)^4.5 + 'DCF Valuation'!I20/(1+0.075)^5.5 + 'DCF Valuation'!J20/(1+0.075)^6.5+'DCF Valuation'!J20*(1+0.03)/(0.075-0.03)/(1+0.075)^7-32464-17720)/98040*1000</f>
        <v>227093.70591390331</v>
      </c>
      <c r="G9" s="76">
        <f>('DCF Valuation'!D20/(1+0.075)^0.5 + 'DCF Valuation'!E20/(1+0.075)^1.5 + 'DCF Valuation'!F20/(1+0.075)^2.5 + 'DCF Valuation'!G20/(1+0.075)^3.5 + 'DCF Valuation'!H20/(1+0.075)^4.5 + 'DCF Valuation'!I20/(1+0.075)^5.5 + 'DCF Valuation'!J20/(1+0.075)^6.5+'DCF Valuation'!J20*(1+0.035)/(0.075-0.035)/(1+0.075)^7-32464-17720)/98040*1000</f>
        <v>252538.95327197324</v>
      </c>
      <c r="H9" s="76">
        <f>('DCF Valuation'!D20/(1+0.075)^0.5 + 'DCF Valuation'!E20/(1+0.075)^1.5 + 'DCF Valuation'!F20/(1+0.075)^2.5 + 'DCF Valuation'!G20/(1+0.075)^3.5 + 'DCF Valuation'!H20/(1+0.075)^4.5 + 'DCF Valuation'!I20/(1+0.075)^5.5 + 'DCF Valuation'!J20/(1+0.075)^6.5+'DCF Valuation'!J20*(1+0.04)/(0.075-0.04)/(1+0.075)^7-32464-17720)/98040*1000</f>
        <v>285254.27130377741</v>
      </c>
    </row>
    <row r="10" spans="2:12" ht="15" customHeight="1" x14ac:dyDescent="0.25">
      <c r="B10" s="72">
        <v>0.08</v>
      </c>
      <c r="C10" s="73"/>
      <c r="D10" s="76">
        <f>('DCF Valuation'!D20/(1+0.08)^0.5 + 'DCF Valuation'!E20/(1+0.08)^1.5 + 'DCF Valuation'!F20/(1+0.08)^2.5 + 'DCF Valuation'!G20/(1+0.08)^3.5 + 'DCF Valuation'!H20/(1+0.08)^4.5 + 'DCF Valuation'!I20/(1+0.08)^5.5 + 'DCF Valuation'!J20/(1+0.08)^6.5+'DCF Valuation'!J20*(1+0.02)/(0.08-0.02)/(1+0.08)^7-32464-17720)/98040*1000</f>
        <v>171594.51553520688</v>
      </c>
      <c r="E10" s="76">
        <f>('DCF Valuation'!D20/(1+0.08)^0.5 + 'DCF Valuation'!E20/(1+0.08)^1.5 + 'DCF Valuation'!F20/(1+0.08)^2.5 + 'DCF Valuation'!G20/(1+0.08)^3.5 + 'DCF Valuation'!H20/(1+0.08)^4.5 + 'DCF Valuation'!I20/(1+0.08)^5.5 + 'DCF Valuation'!J20/(1+0.08)^6.5+'DCF Valuation'!J20*(1+0.025)/(0.08-0.025)/(1+0.08)^7-32464-17720)/98040*1000</f>
        <v>185092.64206668554</v>
      </c>
      <c r="F10" s="77">
        <f>('DCF Valuation'!D20/(1+0.08)^0.5 + 'DCF Valuation'!E20/(1+0.08)^1.5 + 'DCF Valuation'!F20/(1+0.08)^2.5 + 'DCF Valuation'!G20/(1+0.08)^3.5 + 'DCF Valuation'!H20/(1+0.08)^4.5 + 'DCF Valuation'!I20/(1+0.08)^5.5 + 'DCF Valuation'!J20/(1+0.08)^6.5+'DCF Valuation'!J20*(1+0.03)/(0.08-0.03)/(1+0.08)^7-32464-17720)/98040*1000</f>
        <v>201290.39390445995</v>
      </c>
      <c r="G10" s="76">
        <f>('DCF Valuation'!D20/(1+0.08)^0.5 + 'DCF Valuation'!E20/(1+0.08)^1.5 + 'DCF Valuation'!F20/(1+0.08)^2.5 + 'DCF Valuation'!G20/(1+0.08)^3.5 + 'DCF Valuation'!H20/(1+0.08)^4.5 + 'DCF Valuation'!I20/(1+0.08)^5.5 + 'DCF Valuation'!J20/(1+0.08)^6.5+'DCF Valuation'!J20*(1+0.035)/(0.08-0.035)/(1+0.08)^7-32464-17720)/98040*1000</f>
        <v>221087.64615062872</v>
      </c>
      <c r="H10" s="76">
        <f>('DCF Valuation'!D20/(1+0.08)^0.5 + 'DCF Valuation'!E20/(1+0.08)^1.5 + 'DCF Valuation'!F20/(1+0.08)^2.5 + 'DCF Valuation'!G20/(1+0.08)^3.5 + 'DCF Valuation'!H20/(1+0.08)^4.5 + 'DCF Valuation'!I20/(1+0.08)^5.5 + 'DCF Valuation'!J20/(1+0.08)^6.5+'DCF Valuation'!J20*(1+0.04)/(0.08-0.04)/(1+0.08)^7-32464-17720)/98040*1000</f>
        <v>245834.21145833971</v>
      </c>
    </row>
    <row r="11" spans="2:12" ht="15" customHeight="1" x14ac:dyDescent="0.25">
      <c r="B11" s="72">
        <v>8.5000000000000006E-2</v>
      </c>
      <c r="C11" s="73"/>
      <c r="D11" s="76">
        <f>('DCF Valuation'!D20/(1+0.085)^0.5 + 'DCF Valuation'!E20/(1+0.085)^1.5 + 'DCF Valuation'!F20/(1+0.085)^2.5 + 'DCF Valuation'!G20/(1+0.085)^3.5 + 'DCF Valuation'!H20/(1+0.085)^4.5 + 'DCF Valuation'!I20/(1+0.085)^5.5 + 'DCF Valuation'!J20/(1+0.085)^6.5+'DCF Valuation'!J20*(1+0.02)/(0.085-0.02)/(1+0.085)^7-32464-17720)/98040*1000</f>
        <v>156019.54581054611</v>
      </c>
      <c r="E11" s="76">
        <f>('DCF Valuation'!D20/(1+0.085)^0.5 + 'DCF Valuation'!E20/(1+0.085)^1.5 + 'DCF Valuation'!F20/(1+0.085)^2.5 + 'DCF Valuation'!G20/(1+0.085)^3.5 + 'DCF Valuation'!H20/(1+0.085)^4.5 + 'DCF Valuation'!I20/(1+0.085)^5.5 + 'DCF Valuation'!J20/(1+0.085)^6.5+'DCF Valuation'!J20*(1+0.025)/(0.085-0.025)/(1+0.085)^7-32464-17720)/98040*1000</f>
        <v>167128.8518673525</v>
      </c>
      <c r="F11" s="76">
        <f>('DCF Valuation'!D20/(1+0.085)^0.5 + 'DCF Valuation'!E20/(1+0.085)^1.5 + 'DCF Valuation'!F20/(1+0.085)^2.5 + 'DCF Valuation'!G20/(1+0.085)^3.5 + 'DCF Valuation'!H20/(1+0.085)^4.5 + 'DCF Valuation'!I20/(1+0.085)^5.5 + 'DCF Valuation'!J20/(1+0.085)^6.5+'DCF Valuation'!J20*(1+0.03)/(0.085-0.03)/(1+0.085)^7-32464-17720)/98040*1000</f>
        <v>180258.03175266919</v>
      </c>
      <c r="G11" s="76">
        <f>('DCF Valuation'!D20/(1+0.085)^0.5 + 'DCF Valuation'!E20/(1+0.085)^1.5 + 'DCF Valuation'!F20/(1+0.085)^2.5 + 'DCF Valuation'!G20/(1+0.085)^3.5 + 'DCF Valuation'!H20/(1+0.085)^4.5 + 'DCF Valuation'!I20/(1+0.085)^5.5 + 'DCF Valuation'!J20/(1+0.085)^6.5+'DCF Valuation'!J20*(1+0.035)/(0.085-0.035)/(1+0.085)^7-32464-17720)/98040*1000</f>
        <v>196013.04761504917</v>
      </c>
      <c r="H11" s="76">
        <f>('DCF Valuation'!D20/(1+0.085)^0.5 + 'DCF Valuation'!E20/(1+0.085)^1.5 + 'DCF Valuation'!F20/(1+0.085)^2.5 + 'DCF Valuation'!G20/(1+0.085)^3.5 + 'DCF Valuation'!H20/(1+0.085)^4.5 + 'DCF Valuation'!I20/(1+0.085)^5.5 + 'DCF Valuation'!J20/(1+0.085)^6.5+'DCF Valuation'!J20*(1+0.04)/(0.085-0.04)/(1+0.085)^7-32464-17720)/98040*1000</f>
        <v>215269.17811351366</v>
      </c>
    </row>
    <row r="12" spans="2:12" ht="15" customHeight="1" x14ac:dyDescent="0.25">
      <c r="B12" s="72">
        <v>0.09</v>
      </c>
      <c r="C12" s="73"/>
      <c r="D12" s="76">
        <f>('DCF Valuation'!D20/(1+0.09)^0.5 + 'DCF Valuation'!E20/(1+0.09)^1.5 + 'DCF Valuation'!F20/(1+0.09)^2.5 + 'DCF Valuation'!G20/(1+0.09)^3.5 + 'DCF Valuation'!H20/(1+0.09)^4.5 + 'DCF Valuation'!I20/(1+0.09)^5.5 + 'DCF Valuation'!J20/(1+0.09)^6.5+'DCF Valuation'!J20*(1+0.02)/(0.09-0.02)/(1+0.09)^7-32464-17720)/98040*1000</f>
        <v>142730.92132970359</v>
      </c>
      <c r="E12" s="76">
        <f>('DCF Valuation'!D20/(1+0.09)^0.5 + 'DCF Valuation'!E20/(1+0.09)^1.5 + 'DCF Valuation'!F20/(1+0.09)^2.5 + 'DCF Valuation'!G20/(1+0.09)^3.5 + 'DCF Valuation'!H20/(1+0.09)^4.5 + 'DCF Valuation'!I20/(1+0.09)^5.5 + 'DCF Valuation'!J20/(1+0.09)^6.5+'DCF Valuation'!J20*(1+0.025)/(0.09-0.025)/(1+0.09)^7-32464-17720)/98040*1000</f>
        <v>151994.09024182908</v>
      </c>
      <c r="F12" s="76">
        <f>('DCF Valuation'!D20/(1+0.09)^0.5 + 'DCF Valuation'!E20/(1+0.09)^1.5 + 'DCF Valuation'!F20/(1+0.09)^2.5 + 'DCF Valuation'!G20/(1+0.09)^3.5 + 'DCF Valuation'!H20/(1+0.09)^4.5 + 'DCF Valuation'!I20/(1+0.09)^5.5 + 'DCF Valuation'!J20/(1+0.09)^6.5+'DCF Valuation'!J20*(1+0.03)/(0.09-0.03)/(1+0.09)^7-32464-17720)/98040*1000</f>
        <v>162801.12063930885</v>
      </c>
      <c r="G12" s="76">
        <f>('DCF Valuation'!D20/(1+0.09)^0.5 + 'DCF Valuation'!E20/(1+0.09)^1.5 + 'DCF Valuation'!F20/(1+0.09)^2.5 + 'DCF Valuation'!G20/(1+0.09)^3.5 + 'DCF Valuation'!H20/(1+0.09)^4.5 + 'DCF Valuation'!I20/(1+0.09)^5.5 + 'DCF Valuation'!J20/(1+0.09)^6.5+'DCF Valuation'!J20*(1+0.035)/(0.09-0.035)/(1+0.09)^7-32464-17720)/98040*1000</f>
        <v>175573.06565451223</v>
      </c>
      <c r="H12" s="76">
        <f>('DCF Valuation'!D20/(1+0.09)^0.5 + 'DCF Valuation'!E20/(1+0.09)^1.5 + 'DCF Valuation'!F20/(1+0.09)^2.5 + 'DCF Valuation'!G20/(1+0.09)^3.5 + 'DCF Valuation'!H20/(1+0.09)^4.5 + 'DCF Valuation'!I20/(1+0.09)^5.5 + 'DCF Valuation'!J20/(1+0.09)^6.5+'DCF Valuation'!J20*(1+0.04)/(0.09-0.04)/(1+0.09)^7-32464-17720)/98040*1000</f>
        <v>190899.39967275618</v>
      </c>
    </row>
    <row r="13" spans="2:12" ht="15" customHeight="1" x14ac:dyDescent="0.25">
      <c r="B13" s="72">
        <v>9.5000000000000001E-2</v>
      </c>
      <c r="C13" s="73"/>
      <c r="D13" s="76">
        <f>('DCF Valuation'!D20/(1+0.095)^0.5 + 'DCF Valuation'!E20/(1+0.095)^1.5 + 'DCF Valuation'!F20/(1+0.095)^2.5 + 'DCF Valuation'!G20/(1+0.095)^3.5 + 'DCF Valuation'!H20/(1+0.095)^4.5 + 'DCF Valuation'!I20/(1+0.095)^5.5 + 'DCF Valuation'!J20/(1+0.095)^6.5+'DCF Valuation'!J20*(1+0.02)/(0.095-0.02)/(1+0.095)^7-32464-17720)/98040*1000</f>
        <v>131269.229087032</v>
      </c>
      <c r="E13" s="76">
        <f>('DCF Valuation'!D20/(1+0.095)^0.5 + 'DCF Valuation'!E20/(1+0.095)^1.5 + 'DCF Valuation'!F20/(1+0.095)^2.5 + 'DCF Valuation'!G20/(1+0.095)^3.5 + 'DCF Valuation'!H20/(1+0.095)^4.5 + 'DCF Valuation'!I20/(1+0.095)^5.5 + 'DCF Valuation'!J20/(1+0.095)^6.5+'DCF Valuation'!J20*(1+0.025)/(0.095-0.025)/(1+0.095)^7-32464-17720)/98040*1000</f>
        <v>139079.85700184165</v>
      </c>
      <c r="F13" s="76">
        <f>('DCF Valuation'!D20/(1+0.095)^0.5 + 'DCF Valuation'!E20/(1+0.095)^1.5 + 'DCF Valuation'!F20/(1+0.095)^2.5 + 'DCF Valuation'!G20/(1+0.095)^3.5 + 'DCF Valuation'!H20/(1+0.095)^4.5 + 'DCF Valuation'!I20/(1+0.095)^5.5 + 'DCF Valuation'!J20/(1+0.095)^6.5+'DCF Valuation'!J20*(1+0.03)/(0.095-0.03)/(1+0.095)^7-32464-17720)/98040*1000</f>
        <v>148092.11998046821</v>
      </c>
      <c r="G13" s="76">
        <f>('DCF Valuation'!D20/(1+0.095)^0.5 + 'DCF Valuation'!E20/(1+0.095)^1.5 + 'DCF Valuation'!F20/(1+0.095)^2.5 + 'DCF Valuation'!G20/(1+0.095)^3.5 + 'DCF Valuation'!H20/(1+0.095)^4.5 + 'DCF Valuation'!I20/(1+0.095)^5.5 + 'DCF Valuation'!J20/(1+0.095)^6.5+'DCF Valuation'!J20*(1+0.035)/(0.095-0.035)/(1+0.095)^7-32464-17720)/98040*1000</f>
        <v>158606.42678886585</v>
      </c>
      <c r="H13" s="76">
        <f>('DCF Valuation'!D20/(1+0.095)^0.5 + 'DCF Valuation'!E20/(1+0.095)^1.5 + 'DCF Valuation'!F20/(1+0.095)^2.5 + 'DCF Valuation'!G20/(1+0.095)^3.5 + 'DCF Valuation'!H20/(1+0.095)^4.5 + 'DCF Valuation'!I20/(1+0.095)^5.5 + 'DCF Valuation'!J20/(1+0.095)^6.5+'DCF Valuation'!J20*(1+0.04)/(0.095-0.04)/(1+0.095)^7-32464-17720)/98040*1000</f>
        <v>171032.42574424489</v>
      </c>
    </row>
    <row r="14" spans="2:12" ht="15" customHeight="1" x14ac:dyDescent="0.25">
      <c r="B14" s="17" t="s">
        <v>130</v>
      </c>
    </row>
    <row r="17" spans="2:10" ht="15" customHeight="1" x14ac:dyDescent="0.25">
      <c r="B17" s="102" t="s">
        <v>131</v>
      </c>
      <c r="C17" s="102"/>
      <c r="D17" s="102"/>
      <c r="E17" s="102"/>
      <c r="F17" s="102"/>
      <c r="G17" s="102"/>
      <c r="H17" s="102"/>
      <c r="I17" s="102"/>
      <c r="J17" s="102"/>
    </row>
    <row r="18" spans="2:10" ht="15" customHeight="1" x14ac:dyDescent="0.25">
      <c r="B18" s="101" t="s">
        <v>132</v>
      </c>
      <c r="C18" s="101"/>
      <c r="D18" s="35">
        <v>0.06</v>
      </c>
      <c r="E18" s="35">
        <v>7.0000000000000007E-2</v>
      </c>
      <c r="F18" s="35">
        <v>0.08</v>
      </c>
      <c r="G18" s="35">
        <v>0.09</v>
      </c>
      <c r="H18" s="35">
        <v>0.1</v>
      </c>
    </row>
    <row r="19" spans="2:10" ht="15" customHeight="1" x14ac:dyDescent="0.25">
      <c r="B19" s="72">
        <v>0.06</v>
      </c>
      <c r="C19" s="73"/>
      <c r="D19" s="74">
        <f>('DCF Valuation'!D20/(1+0.08)^0.5 + 'DCF Valuation'!E20/(1+0.08)^1.5 + 'DCF Valuation'!F20/(1+0.08)^2.5+(((50166222*(1+0.06)^1)*0.06*(1-0.19)+(50166222*(1+0.06)^1)*0.015+(50166222*(1+0.06)^1)*-0.051+(50166222*(1+0.06)^1)*-0.009)/(1+0.08)^3.5) + (((50166222*(1+0.06)^2)*0.06*(1-0.19)+(50166222*(1+0.06)^2)*0.015+(50166222*(1+0.06)^2)*-0.051+(50166222*(1+0.06)^2)*-0.009)/(1+0.08)^4.5) + (((50166222*(1+0.06)^3)*0.06*(1-0.19)+(50166222*(1+0.06)^3)*0.015+(50166222*(1+0.06)^3)*-0.051+(50166222*(1+0.06)^3)*-0.009)/(1+0.08)^5.5) + (((50166222*(1+0.06)^4)*0.06*(1-0.19)+(50166222*(1+0.06)^4)*0.015+(50166222*(1+0.06)^4)*-0.051+(50166222*(1+0.06)^4)*-0.009)/(1+0.08)^6.5)+((50166222*(1+0.06)^4)*0.06*(1-0.19)+(50166222*(1+0.06)^4)*0.015+(50166222*(1+0.06)^4)*-0.051+(50166222*(1+0.06)^4)*-0.009)*(1+0.03)/(0.08-0.03)/(1+0.08)^7-32464-17720)/98040*1000</f>
        <v>41778.536856152117</v>
      </c>
      <c r="E19" s="74">
        <f>('DCF Valuation'!D20/(1+0.08)^0.5 + 'DCF Valuation'!E20/(1+0.08)^1.5 + 'DCF Valuation'!F20/(1+0.08)^2.5+(((50166222*(1+0.07)^1)*0.06*(1-0.19)+(50166222*(1+0.07)^1)*0.015+(50166222*(1+0.07)^1)*-0.051+(50166222*(1+0.07)^1)*-0.009)/(1+0.08)^3.5) + (((50166222*(1+0.07)^2)*0.06*(1-0.19)+(50166222*(1+0.07)^2)*0.015+(50166222*(1+0.07)^2)*-0.051+(50166222*(1+0.07)^2)*-0.009)/(1+0.08)^4.5) + (((50166222*(1+0.07)^3)*0.06*(1-0.19)+(50166222*(1+0.07)^3)*0.015+(50166222*(1+0.07)^3)*-0.051+(50166222*(1+0.07)^3)*-0.009)/(1+0.08)^5.5) + (((50166222*(1+0.07)^4)*0.06*(1-0.19)+(50166222*(1+0.07)^4)*0.015+(50166222*(1+0.07)^4)*-0.051+(50166222*(1+0.07)^4)*-0.009)/(1+0.08)^6.5)+((50166222*(1+0.07)^4)*0.06*(1-0.19)+(50166222*(1+0.07)^4)*0.015+(50166222*(1+0.07)^4)*-0.051+(50166222*(1+0.07)^4)*-0.009)*(1+0.03)/(0.08-0.03)/(1+0.08)^7-32464-17720)/98040*1000</f>
        <v>42985.248381639823</v>
      </c>
      <c r="F19" s="74">
        <f>('DCF Valuation'!D20/(1+0.08)^0.5 + 'DCF Valuation'!E20/(1+0.08)^1.5 + 'DCF Valuation'!F20/(1+0.08)^2.5+(((50166222*(1+0.08)^1)*0.06*(1-0.19)+(50166222*(1+0.08)^1)*0.015+(50166222*(1+0.08)^1)*-0.051+(50166222*(1+0.08)^1)*-0.009)/(1+0.08)^3.5) + (((50166222*(1+0.08)^2)*0.06*(1-0.19)+(50166222*(1+0.08)^2)*0.015+(50166222*(1+0.08)^2)*-0.051+(50166222*(1+0.08)^2)*-0.009)/(1+0.08)^4.5) + (((50166222*(1+0.08)^3)*0.06*(1-0.19)+(50166222*(1+0.08)^3)*0.015+(50166222*(1+0.08)^3)*-0.051+(50166222*(1+0.08)^3)*-0.009)/(1+0.08)^5.5) + (((50166222*(1+0.08)^4)*0.06*(1-0.19)+(50166222*(1+0.08)^4)*0.015+(50166222*(1+0.08)^4)*-0.051+(50166222*(1+0.08)^4)*-0.009)/(1+0.08)^6.5)+((50166222*(1+0.08)^4)*0.06*(1-0.19)+(50166222*(1+0.08)^4)*0.015+(50166222*(1+0.08)^4)*-0.051+(50166222*(1+0.08)^4)*-0.009)*(1+0.03)/(0.08-0.03)/(1+0.08)^7-32464-17720)/98040*1000</f>
        <v>44224.950149231023</v>
      </c>
      <c r="G19" s="74">
        <f>('DCF Valuation'!D20/(1+0.08)^0.5 + 'DCF Valuation'!E20/(1+0.08)^1.5 + 'DCF Valuation'!F20/(1+0.08)^2.5+(((50166222*(1+0.09)^1)*0.06*(1-0.19)+(50166222*(1+0.09)^1)*0.015+(50166222*(1+0.09)^1)*-0.051+(50166222*(1+0.09)^1)*-0.009)/(1+0.08)^3.5) + (((50166222*(1+0.09)^2)*0.06*(1-0.19)+(50166222*(1+0.09)^2)*0.015+(50166222*(1+0.09)^2)*-0.051+(50166222*(1+0.09)^2)*-0.009)/(1+0.08)^4.5) + (((50166222*(1+0.09)^3)*0.06*(1-0.19)+(50166222*(1+0.09)^3)*0.015+(50166222*(1+0.09)^3)*-0.051+(50166222*(1+0.09)^3)*-0.009)/(1+0.08)^5.5) + (((50166222*(1+0.09)^4)*0.06*(1-0.19)+(50166222*(1+0.09)^4)*0.015+(50166222*(1+0.09)^4)*-0.051+(50166222*(1+0.09)^4)*-0.009)/(1+0.08)^6.5)+((50166222*(1+0.09)^4)*0.06*(1-0.19)+(50166222*(1+0.09)^4)*0.015+(50166222*(1+0.09)^4)*-0.051+(50166222*(1+0.09)^4)*-0.009)*(1+0.03)/(0.08-0.03)/(1+0.08)^7-32464-17720)/98040*1000</f>
        <v>45498.249472537398</v>
      </c>
      <c r="H19" s="74">
        <f>('DCF Valuation'!D20/(1+0.08)^0.5 + 'DCF Valuation'!E20/(1+0.08)^1.5 + 'DCF Valuation'!F20/(1+0.08)^2.5+(((50166222*(1+0.1)^1)*0.06*(1-0.19)+(50166222*(1+0.1)^1)*0.015+(50166222*(1+0.1)^1)*-0.051+(50166222*(1+0.1)^1)*-0.009)/(1+0.08)^3.5) + (((50166222*(1+0.1)^2)*0.06*(1-0.19)+(50166222*(1+0.1)^2)*0.015+(50166222*(1+0.1)^2)*-0.051+(50166222*(1+0.1)^2)*-0.009)/(1+0.08)^4.5) + (((50166222*(1+0.1)^3)*0.06*(1-0.19)+(50166222*(1+0.1)^3)*0.015+(50166222*(1+0.1)^3)*-0.051+(50166222*(1+0.1)^3)*-0.009)/(1+0.08)^5.5) + (((50166222*(1+0.1)^4)*0.06*(1-0.19)+(50166222*(1+0.1)^4)*0.015+(50166222*(1+0.1)^4)*-0.051+(50166222*(1+0.1)^4)*-0.009)/(1+0.08)^6.5)+((50166222*(1+0.1)^4)*0.06*(1-0.19)+(50166222*(1+0.1)^4)*0.015+(50166222*(1+0.1)^4)*-0.051+(50166222*(1+0.1)^4)*-0.009)*(1+0.03)/(0.08-0.03)/(1+0.08)^7-32464-17720)/98040*1000</f>
        <v>46805.759247266862</v>
      </c>
    </row>
    <row r="20" spans="2:10" ht="15" customHeight="1" x14ac:dyDescent="0.25">
      <c r="B20" s="72">
        <v>6.4000000000000001E-2</v>
      </c>
      <c r="C20" s="73"/>
      <c r="D20" s="74">
        <f>('DCF Valuation'!D20/(1+0.08)^0.5 + 'DCF Valuation'!E20/(1+0.08)^1.5 + 'DCF Valuation'!F20/(1+0.08)^2.5+(((50166222*(1+0.06)^1)*0.064*(1-0.19)+(50166222*(1+0.06)^1)*0.015+(50166222*(1+0.06)^1)*-0.051+(50166222*(1+0.06)^1)*-0.009)/(1+0.08)^3.5) + (((50166222*(1+0.06)^2)*0.064*(1-0.19)+(50166222*(1+0.06)^2)*0.015+(50166222*(1+0.06)^2)*-0.051+(50166222*(1+0.06)^2)*-0.009)/(1+0.08)^4.5) + (((50166222*(1+0.06)^3)*0.064*(1-0.19)+(50166222*(1+0.06)^3)*0.015+(50166222*(1+0.06)^3)*-0.051+(50166222*(1+0.06)^3)*-0.009)/(1+0.08)^5.5) + (((50166222*(1+0.06)^4)*0.064*(1-0.19)+(50166222*(1+0.06)^4)*0.015+(50166222*(1+0.06)^4)*-0.051+(50166222*(1+0.06)^4)*-0.009)/(1+0.08)^6.5)+((50166222*(1+0.06)^4)*0.064*(1-0.19)+(50166222*(1+0.06)^4)*0.015+(50166222*(1+0.06)^4)*-0.051+(50166222*(1+0.06)^4)*-0.009)*(1+0.03)/(0.08-0.03)/(1+0.08)^7-32464-17720)/98040*1000</f>
        <v>72158.820769534897</v>
      </c>
      <c r="E20" s="74">
        <f>('DCF Valuation'!D20/(1+0.08)^0.5 + 'DCF Valuation'!E20/(1+0.08)^1.5 + 'DCF Valuation'!F20/(1+0.08)^2.5+(((50166222*(1+0.07)^1)*0.064*(1-0.19)+(50166222*(1+0.07)^1)*0.015+(50166222*(1+0.07)^1)*-0.051+(50166222*(1+0.07)^1)*-0.009)/(1+0.08)^3.5) + (((50166222*(1+0.07)^2)*0.064*(1-0.19)+(50166222*(1+0.07)^2)*0.015+(50166222*(1+0.07)^2)*-0.051+(50166222*(1+0.07)^2)*-0.009)/(1+0.08)^4.5) + (((50166222*(1+0.07)^3)*0.064*(1-0.19)+(50166222*(1+0.07)^3)*0.015+(50166222*(1+0.07)^3)*-0.051+(50166222*(1+0.07)^3)*-0.009)/(1+0.08)^5.5) + (((50166222*(1+0.07)^4)*0.064*(1-0.19)+(50166222*(1+0.07)^4)*0.015+(50166222*(1+0.07)^4)*-0.051+(50166222*(1+0.07)^4)*-0.009)/(1+0.08)^6.5)+((50166222*(1+0.07)^4)*0.064*(1-0.19)+(50166222*(1+0.07)^4)*0.015+(50166222*(1+0.07)^4)*-0.051+(50166222*(1+0.07)^4)*-0.009)*(1+0.03)/(0.08-0.03)/(1+0.08)^7-32464-17720)/98040*1000</f>
        <v>74451.572667961518</v>
      </c>
      <c r="F20" s="74">
        <f>('DCF Valuation'!D20/(1+0.08)^0.5 + 'DCF Valuation'!E20/(1+0.08)^1.5 + 'DCF Valuation'!F20/(1+0.08)^2.5+(((50166222*(1+0.08)^1)*0.064*(1-0.19)+(50166222*(1+0.08)^1)*0.015+(50166222*(1+0.08)^1)*-0.051+(50166222*(1+0.08)^1)*-0.009)/(1+0.08)^3.5) + (((50166222*(1+0.08)^2)*0.064*(1-0.19)+(50166222*(1+0.08)^2)*0.015+(50166222*(1+0.08)^2)*-0.051+(50166222*(1+0.08)^2)*-0.009)/(1+0.08)^4.5) + (((50166222*(1+0.08)^3)*0.064*(1-0.19)+(50166222*(1+0.08)^3)*0.015+(50166222*(1+0.08)^3)*-0.051+(50166222*(1+0.08)^3)*-0.009)/(1+0.08)^5.5) + (((50166222*(1+0.08)^4)*0.064*(1-0.19)+(50166222*(1+0.08)^4)*0.015+(50166222*(1+0.08)^4)*-0.051+(50166222*(1+0.08)^4)*-0.009)/(1+0.08)^6.5)+((50166222*(1+0.08)^4)*0.064*(1-0.19)+(50166222*(1+0.08)^4)*0.015+(50166222*(1+0.08)^4)*-0.051+(50166222*(1+0.08)^4)*-0.009)*(1+0.03)/(0.08-0.03)/(1+0.08)^7-32464-17720)/98040*1000</f>
        <v>76807.006026385046</v>
      </c>
      <c r="G20" s="74">
        <f>('DCF Valuation'!D20/(1+0.08)^0.5 + 'DCF Valuation'!E20/(1+0.08)^1.5 + 'DCF Valuation'!F20/(1+0.08)^2.5+(((50166222*(1+0.09)^1)*0.064*(1-0.19)+(50166222*(1+0.09)^1)*0.015+(50166222*(1+0.09)^1)*-0.051+(50166222*(1+0.09)^1)*-0.009)/(1+0.08)^3.5) + (((50166222*(1+0.09)^2)*0.064*(1-0.19)+(50166222*(1+0.09)^2)*0.015+(50166222*(1+0.09)^2)*-0.051+(50166222*(1+0.09)^2)*-0.009)/(1+0.08)^4.5) + (((50166222*(1+0.09)^3)*0.064*(1-0.19)+(50166222*(1+0.09)^3)*0.015+(50166222*(1+0.09)^3)*-0.051+(50166222*(1+0.09)^3)*-0.009)/(1+0.08)^5.5) + (((50166222*(1+0.09)^4)*0.064*(1-0.19)+(50166222*(1+0.09)^4)*0.015+(50166222*(1+0.09)^4)*-0.051+(50166222*(1+0.09)^4)*-0.009)/(1+0.08)^6.5)+((50166222*(1+0.09)^4)*0.064*(1-0.19)+(50166222*(1+0.09)^4)*0.015+(50166222*(1+0.09)^4)*-0.051+(50166222*(1+0.09)^4)*-0.009)*(1+0.03)/(0.08-0.03)/(1+0.08)^7-32464-17720)/98040*1000</f>
        <v>79226.274740667111</v>
      </c>
      <c r="H20" s="74">
        <f>('DCF Valuation'!D20/(1+0.08)^0.5 + 'DCF Valuation'!E20/(1+0.08)^1.5 + 'DCF Valuation'!F20/(1+0.08)^2.5+(((50166222*(1+0.1)^1)*0.064*(1-0.19)+(50166222*(1+0.1)^1)*0.015+(50166222*(1+0.1)^1)*-0.051+(50166222*(1+0.1)^1)*-0.009)/(1+0.08)^3.5) + (((50166222*(1+0.1)^2)*0.064*(1-0.19)+(50166222*(1+0.1)^2)*0.015+(50166222*(1+0.1)^2)*-0.051+(50166222*(1+0.1)^2)*-0.009)/(1+0.08)^4.5) + (((50166222*(1+0.1)^3)*0.064*(1-0.19)+(50166222*(1+0.1)^3)*0.015+(50166222*(1+0.1)^3)*-0.051+(50166222*(1+0.1)^3)*-0.009)/(1+0.08)^5.5) + (((50166222*(1+0.1)^4)*0.064*(1-0.19)+(50166222*(1+0.1)^4)*0.015+(50166222*(1+0.1)^4)*-0.051+(50166222*(1+0.1)^4)*-0.009)/(1+0.08)^6.5)+((50166222*(1+0.1)^4)*0.064*(1-0.19)+(50166222*(1+0.1)^4)*0.015+(50166222*(1+0.1)^4)*-0.051+(50166222*(1+0.1)^4)*-0.009)*(1+0.03)/(0.08-0.03)/(1+0.08)^7-32464-17720)/98040*1000</f>
        <v>81710.543312653012</v>
      </c>
    </row>
    <row r="21" spans="2:10" ht="15" customHeight="1" x14ac:dyDescent="0.25">
      <c r="B21" s="72">
        <v>6.8000000000000005E-2</v>
      </c>
      <c r="C21" s="73"/>
      <c r="D21" s="74">
        <f>('DCF Valuation'!D20/(1+0.08)^0.5 + 'DCF Valuation'!E20/(1+0.08)^1.5 + 'DCF Valuation'!F20/(1+0.08)^2.5+(((50166222*(1+0.06)^1)*0.068*(1-0.19)+(50166222*(1+0.06)^1)*0.015+(50166222*(1+0.06)^1)*-0.051+(50166222*(1+0.06)^1)*-0.009)/(1+0.08)^3.5) + (((50166222*(1+0.06)^2)*0.068*(1-0.19)+(50166222*(1+0.06)^2)*0.015+(50166222*(1+0.06)^2)*-0.051+(50166222*(1+0.06)^2)*-0.009)/(1+0.08)^4.5) + (((50166222*(1+0.06)^3)*0.068*(1-0.19)+(50166222*(1+0.06)^3)*0.015+(50166222*(1+0.06)^3)*-0.051+(50166222*(1+0.06)^3)*-0.009)/(1+0.08)^5.5) + (((50166222*(1+0.06)^4)*0.068*(1-0.19)+(50166222*(1+0.06)^4)*0.015+(50166222*(1+0.06)^4)*-0.051+(50166222*(1+0.06)^4)*-0.009)/(1+0.08)^6.5)+((50166222*(1+0.06)^4)*0.068*(1-0.19)+(50166222*(1+0.06)^4)*0.015+(50166222*(1+0.06)^4)*-0.051+(50166222*(1+0.06)^4)*-0.009)*(1+0.03)/(0.08-0.03)/(1+0.08)^7-32464-17720)/98040*1000</f>
        <v>102539.10468291785</v>
      </c>
      <c r="E21" s="74">
        <f>('DCF Valuation'!D20/(1+0.08)^0.5 + 'DCF Valuation'!E20/(1+0.08)^1.5 + 'DCF Valuation'!F20/(1+0.08)^2.5+(((50166222*(1+0.07)^1)*0.068*(1-0.19)+(50166222*(1+0.07)^1)*0.015+(50166222*(1+0.07)^1)*-0.051+(50166222*(1+0.07)^1)*-0.009)/(1+0.08)^3.5) + (((50166222*(1+0.07)^2)*0.068*(1-0.19)+(50166222*(1+0.07)^2)*0.015+(50166222*(1+0.07)^2)*-0.051+(50166222*(1+0.07)^2)*-0.009)/(1+0.08)^4.5) + (((50166222*(1+0.07)^3)*0.068*(1-0.19)+(50166222*(1+0.07)^3)*0.015+(50166222*(1+0.07)^3)*-0.051+(50166222*(1+0.07)^3)*-0.009)/(1+0.08)^5.5) + (((50166222*(1+0.07)^4)*0.068*(1-0.19)+(50166222*(1+0.07)^4)*0.015+(50166222*(1+0.07)^4)*-0.051+(50166222*(1+0.07)^4)*-0.009)/(1+0.08)^6.5)+((50166222*(1+0.07)^4)*0.068*(1-0.19)+(50166222*(1+0.07)^4)*0.015+(50166222*(1+0.07)^4)*-0.051+(50166222*(1+0.07)^4)*-0.009)*(1+0.03)/(0.08-0.03)/(1+0.08)^7-32464-17720)/98040*1000</f>
        <v>105917.89695428325</v>
      </c>
      <c r="F21" s="74">
        <f>('DCF Valuation'!D20/(1+0.08)^0.5 + 'DCF Valuation'!E20/(1+0.08)^1.5 + 'DCF Valuation'!F20/(1+0.08)^2.5+(((50166222*(1+0.08)^1)*0.068*(1-0.19)+(50166222*(1+0.08)^1)*0.015+(50166222*(1+0.08)^1)*-0.051+(50166222*(1+0.08)^1)*-0.009)/(1+0.08)^3.5) + (((50166222*(1+0.08)^2)*0.068*(1-0.19)+(50166222*(1+0.08)^2)*0.015+(50166222*(1+0.08)^2)*-0.051+(50166222*(1+0.08)^2)*-0.009)/(1+0.08)^4.5) + (((50166222*(1+0.08)^3)*0.068*(1-0.19)+(50166222*(1+0.08)^3)*0.015+(50166222*(1+0.08)^3)*-0.051+(50166222*(1+0.08)^3)*-0.009)/(1+0.08)^5.5) + (((50166222*(1+0.08)^4)*0.068*(1-0.19)+(50166222*(1+0.08)^4)*0.015+(50166222*(1+0.08)^4)*-0.051+(50166222*(1+0.08)^4)*-0.009)/(1+0.08)^6.5)+((50166222*(1+0.08)^4)*0.068*(1-0.19)+(50166222*(1+0.08)^4)*0.015+(50166222*(1+0.08)^4)*-0.051+(50166222*(1+0.08)^4)*-0.009)*(1+0.03)/(0.08-0.03)/(1+0.08)^7-32464-17720)/98040*1000</f>
        <v>109389.06190353894</v>
      </c>
      <c r="G21" s="75">
        <f>('DCF Valuation'!D20/(1+0.08)^0.5 + 'DCF Valuation'!E20/(1+0.08)^1.5 + 'DCF Valuation'!F20/(1+0.08)^2.5+(((50166222*(1+0.09)^1)*0.068*(1-0.19)+(50166222*(1+0.09)^1)*0.015+(50166222*(1+0.09)^1)*-0.051+(50166222*(1+0.09)^1)*-0.009)/(1+0.08)^3.5) + (((50166222*(1+0.09)^2)*0.068*(1-0.19)+(50166222*(1+0.09)^2)*0.015+(50166222*(1+0.09)^2)*-0.051+(50166222*(1+0.09)^2)*-0.009)/(1+0.08)^4.5) + (((50166222*(1+0.09)^3)*0.068*(1-0.19)+(50166222*(1+0.09)^3)*0.015+(50166222*(1+0.09)^3)*-0.051+(50166222*(1+0.09)^3)*-0.009)/(1+0.08)^5.5) + (((50166222*(1+0.09)^4)*0.068*(1-0.19)+(50166222*(1+0.09)^4)*0.015+(50166222*(1+0.09)^4)*-0.051+(50166222*(1+0.09)^4)*-0.009)/(1+0.08)^6.5)+((50166222*(1+0.09)^4)*0.068*(1-0.19)+(50166222*(1+0.09)^4)*0.015+(50166222*(1+0.09)^4)*-0.051+(50166222*(1+0.09)^4)*-0.009)*(1+0.03)/(0.08-0.03)/(1+0.08)^7-32464-17720)/98040*1000</f>
        <v>112954.30000879671</v>
      </c>
      <c r="H21" s="74">
        <f>('DCF Valuation'!D20/(1+0.08)^0.5 + 'DCF Valuation'!E20/(1+0.08)^1.5 + 'DCF Valuation'!F20/(1+0.08)^2.5+(((50166222*(1+0.1)^1)*0.068*(1-0.19)+(50166222*(1+0.1)^1)*0.015+(50166222*(1+0.1)^1)*-0.051+(50166222*(1+0.1)^1)*-0.009)/(1+0.08)^3.5) + (((50166222*(1+0.1)^2)*0.068*(1-0.19)+(50166222*(1+0.1)^2)*0.015+(50166222*(1+0.1)^2)*-0.051+(50166222*(1+0.1)^2)*-0.009)/(1+0.08)^4.5) + (((50166222*(1+0.1)^3)*0.068*(1-0.19)+(50166222*(1+0.1)^3)*0.015+(50166222*(1+0.1)^3)*-0.051+(50166222*(1+0.1)^3)*-0.009)/(1+0.08)^5.5) + (((50166222*(1+0.1)^4)*0.068*(1-0.19)+(50166222*(1+0.1)^4)*0.015+(50166222*(1+0.1)^4)*-0.051+(50166222*(1+0.1)^4)*-0.009)/(1+0.08)^6.5)+((50166222*(1+0.1)^4)*0.068*(1-0.19)+(50166222*(1+0.1)^4)*0.015+(50166222*(1+0.1)^4)*-0.051+(50166222*(1+0.1)^4)*-0.009)*(1+0.03)/(0.08-0.03)/(1+0.08)^7-32464-17720)/98040*1000</f>
        <v>116615.32737803907</v>
      </c>
    </row>
    <row r="22" spans="2:10" ht="15" customHeight="1" x14ac:dyDescent="0.25">
      <c r="B22" s="72">
        <v>7.1999999999999995E-2</v>
      </c>
      <c r="C22" s="73"/>
      <c r="D22" s="74">
        <f>('DCF Valuation'!D20/(1+0.08)^0.5 + 'DCF Valuation'!E20/(1+0.08)^1.5 + 'DCF Valuation'!F20/(1+0.08)^2.5+(((50166222*(1+0.06)^1)*0.072*(1-0.19)+(50166222*(1+0.06)^1)*0.015+(50166222*(1+0.06)^1)*-0.051+(50166222*(1+0.06)^1)*-0.009)/(1+0.08)^3.5) + (((50166222*(1+0.06)^2)*0.072*(1-0.19)+(50166222*(1+0.06)^2)*0.015+(50166222*(1+0.06)^2)*-0.051+(50166222*(1+0.06)^2)*-0.009)/(1+0.08)^4.5) + (((50166222*(1+0.06)^3)*0.072*(1-0.19)+(50166222*(1+0.06)^3)*0.015+(50166222*(1+0.06)^3)*-0.051+(50166222*(1+0.06)^3)*-0.009)/(1+0.08)^5.5) + (((50166222*(1+0.06)^4)*0.072*(1-0.19)+(50166222*(1+0.06)^4)*0.015+(50166222*(1+0.06)^4)*-0.051+(50166222*(1+0.06)^4)*-0.009)/(1+0.08)^6.5)+((50166222*(1+0.06)^4)*0.072*(1-0.19)+(50166222*(1+0.06)^4)*0.015+(50166222*(1+0.06)^4)*-0.051+(50166222*(1+0.06)^4)*-0.009)*(1+0.03)/(0.08-0.03)/(1+0.08)^7-32464-17720)/98040*1000</f>
        <v>132919.38859630068</v>
      </c>
      <c r="E22" s="74">
        <f>('DCF Valuation'!D20/(1+0.08)^0.5 + 'DCF Valuation'!E20/(1+0.08)^1.5 + 'DCF Valuation'!F20/(1+0.08)^2.5+(((50166222*(1+0.07)^1)*0.072*(1-0.19)+(50166222*(1+0.07)^1)*0.015+(50166222*(1+0.07)^1)*-0.051+(50166222*(1+0.07)^1)*-0.009)/(1+0.08)^3.5) + (((50166222*(1+0.07)^2)*0.072*(1-0.19)+(50166222*(1+0.07)^2)*0.015+(50166222*(1+0.07)^2)*-0.051+(50166222*(1+0.07)^2)*-0.009)/(1+0.08)^4.5) + (((50166222*(1+0.07)^3)*0.072*(1-0.19)+(50166222*(1+0.07)^3)*0.015+(50166222*(1+0.07)^3)*-0.051+(50166222*(1+0.07)^3)*-0.009)/(1+0.08)^5.5) + (((50166222*(1+0.07)^4)*0.072*(1-0.19)+(50166222*(1+0.07)^4)*0.015+(50166222*(1+0.07)^4)*-0.051+(50166222*(1+0.07)^4)*-0.009)/(1+0.08)^6.5)+((50166222*(1+0.07)^4)*0.072*(1-0.19)+(50166222*(1+0.07)^4)*0.015+(50166222*(1+0.07)^4)*-0.051+(50166222*(1+0.07)^4)*-0.009)*(1+0.03)/(0.08-0.03)/(1+0.08)^7-32464-17720)/98040*1000</f>
        <v>137384.22124060485</v>
      </c>
      <c r="F22" s="74">
        <f>('DCF Valuation'!D20/(1+0.08)^0.5 + 'DCF Valuation'!E20/(1+0.08)^1.5 + 'DCF Valuation'!F20/(1+0.08)^2.5+(((50166222*(1+0.08)^1)*0.072*(1-0.19)+(50166222*(1+0.08)^1)*0.015+(50166222*(1+0.08)^1)*-0.051+(50166222*(1+0.08)^1)*-0.009)/(1+0.08)^3.5) + (((50166222*(1+0.08)^2)*0.072*(1-0.19)+(50166222*(1+0.08)^2)*0.015+(50166222*(1+0.08)^2)*-0.051+(50166222*(1+0.08)^2)*-0.009)/(1+0.08)^4.5) + (((50166222*(1+0.08)^3)*0.072*(1-0.19)+(50166222*(1+0.08)^3)*0.015+(50166222*(1+0.08)^3)*-0.051+(50166222*(1+0.08)^3)*-0.009)/(1+0.08)^5.5) + (((50166222*(1+0.08)^4)*0.072*(1-0.19)+(50166222*(1+0.08)^4)*0.015+(50166222*(1+0.08)^4)*-0.051+(50166222*(1+0.08)^4)*-0.009)/(1+0.08)^6.5)+((50166222*(1+0.08)^4)*0.072*(1-0.19)+(50166222*(1+0.08)^4)*0.015+(50166222*(1+0.08)^4)*-0.051+(50166222*(1+0.08)^4)*-0.009)*(1+0.03)/(0.08-0.03)/(1+0.08)^7-32464-17720)/98040*1000</f>
        <v>141971.11778069282</v>
      </c>
      <c r="G22" s="74">
        <f>('DCF Valuation'!D20/(1+0.08)^0.5 + 'DCF Valuation'!E20/(1+0.08)^1.5 + 'DCF Valuation'!F20/(1+0.08)^2.5+(((50166222*(1+0.09)^1)*0.072*(1-0.19)+(50166222*(1+0.09)^1)*0.015+(50166222*(1+0.09)^1)*-0.051+(50166222*(1+0.09)^1)*-0.009)/(1+0.08)^3.5) + (((50166222*(1+0.09)^2)*0.072*(1-0.19)+(50166222*(1+0.09)^2)*0.015+(50166222*(1+0.09)^2)*-0.051+(50166222*(1+0.09)^2)*-0.009)/(1+0.08)^4.5) + (((50166222*(1+0.09)^3)*0.072*(1-0.19)+(50166222*(1+0.09)^3)*0.015+(50166222*(1+0.09)^3)*-0.051+(50166222*(1+0.09)^3)*-0.009)/(1+0.08)^5.5) + (((50166222*(1+0.09)^4)*0.072*(1-0.19)+(50166222*(1+0.09)^4)*0.015+(50166222*(1+0.09)^4)*-0.051+(50166222*(1+0.09)^4)*-0.009)/(1+0.08)^6.5)+((50166222*(1+0.09)^4)*0.072*(1-0.19)+(50166222*(1+0.09)^4)*0.015+(50166222*(1+0.09)^4)*-0.051+(50166222*(1+0.09)^4)*-0.009)*(1+0.03)/(0.08-0.03)/(1+0.08)^7-32464-17720)/98040*1000</f>
        <v>146682.32527692616</v>
      </c>
      <c r="H22" s="74">
        <f>('DCF Valuation'!D20/(1+0.08)^0.5 + 'DCF Valuation'!E20/(1+0.08)^1.5 + 'DCF Valuation'!F20/(1+0.08)^2.5+(((50166222*(1+0.1)^1)*0.072*(1-0.19)+(50166222*(1+0.1)^1)*0.015+(50166222*(1+0.1)^1)*-0.051+(50166222*(1+0.1)^1)*-0.009)/(1+0.08)^3.5) + (((50166222*(1+0.1)^2)*0.072*(1-0.19)+(50166222*(1+0.1)^2)*0.015+(50166222*(1+0.1)^2)*-0.051+(50166222*(1+0.1)^2)*-0.009)/(1+0.08)^4.5) + (((50166222*(1+0.1)^3)*0.072*(1-0.19)+(50166222*(1+0.1)^3)*0.015+(50166222*(1+0.1)^3)*-0.051+(50166222*(1+0.1)^3)*-0.009)/(1+0.08)^5.5) + (((50166222*(1+0.1)^4)*0.072*(1-0.19)+(50166222*(1+0.1)^4)*0.015+(50166222*(1+0.1)^4)*-0.051+(50166222*(1+0.1)^4)*-0.009)/(1+0.08)^6.5)+((50166222*(1+0.1)^4)*0.072*(1-0.19)+(50166222*(1+0.1)^4)*0.015+(50166222*(1+0.1)^4)*-0.051+(50166222*(1+0.1)^4)*-0.009)*(1+0.03)/(0.08-0.03)/(1+0.08)^7-32464-17720)/98040*1000</f>
        <v>151520.111443425</v>
      </c>
    </row>
    <row r="23" spans="2:10" ht="15" customHeight="1" x14ac:dyDescent="0.25">
      <c r="B23" s="72">
        <v>7.5999999999999998E-2</v>
      </c>
      <c r="C23" s="73"/>
      <c r="D23" s="74">
        <f>('DCF Valuation'!D20/(1+0.08)^0.5 + 'DCF Valuation'!E20/(1+0.08)^1.5 + 'DCF Valuation'!F20/(1+0.08)^2.5+(((50166222*(1+0.06)^1)*0.076*(1-0.19)+(50166222*(1+0.06)^1)*0.015+(50166222*(1+0.06)^1)*-0.051+(50166222*(1+0.06)^1)*-0.009)/(1+0.08)^3.5) + (((50166222*(1+0.06)^2)*0.076*(1-0.19)+(50166222*(1+0.06)^2)*0.015+(50166222*(1+0.06)^2)*-0.051+(50166222*(1+0.06)^2)*-0.009)/(1+0.08)^4.5) + (((50166222*(1+0.06)^3)*0.076*(1-0.19)+(50166222*(1+0.06)^3)*0.015+(50166222*(1+0.06)^3)*-0.051+(50166222*(1+0.06)^3)*-0.009)/(1+0.08)^5.5) + (((50166222*(1+0.06)^4)*0.076*(1-0.19)+(50166222*(1+0.06)^4)*0.015+(50166222*(1+0.06)^4)*-0.051+(50166222*(1+0.06)^4)*-0.009)/(1+0.08)^6.5)+((50166222*(1+0.06)^4)*0.076*(1-0.19)+(50166222*(1+0.06)^4)*0.015+(50166222*(1+0.06)^4)*-0.051+(50166222*(1+0.06)^4)*-0.009)*(1+0.03)/(0.08-0.03)/(1+0.08)^7-32464-17720)/98040*1000</f>
        <v>163299.67250968353</v>
      </c>
      <c r="E23" s="74">
        <f>('DCF Valuation'!D20/(1+0.08)^0.5 + 'DCF Valuation'!E20/(1+0.08)^1.5 + 'DCF Valuation'!F20/(1+0.08)^2.5+(((50166222*(1+0.07)^1)*0.076*(1-0.19)+(50166222*(1+0.07)^1)*0.015+(50166222*(1+0.07)^1)*-0.051+(50166222*(1+0.07)^1)*-0.009)/(1+0.08)^3.5) + (((50166222*(1+0.07)^2)*0.076*(1-0.19)+(50166222*(1+0.07)^2)*0.015+(50166222*(1+0.07)^2)*-0.051+(50166222*(1+0.07)^2)*-0.009)/(1+0.08)^4.5) + (((50166222*(1+0.07)^3)*0.076*(1-0.19)+(50166222*(1+0.07)^3)*0.015+(50166222*(1+0.07)^3)*-0.051+(50166222*(1+0.07)^3)*-0.009)/(1+0.08)^5.5) + (((50166222*(1+0.07)^4)*0.076*(1-0.19)+(50166222*(1+0.07)^4)*0.015+(50166222*(1+0.07)^4)*-0.051+(50166222*(1+0.07)^4)*-0.009)/(1+0.08)^6.5)+((50166222*(1+0.07)^4)*0.076*(1-0.19)+(50166222*(1+0.07)^4)*0.015+(50166222*(1+0.07)^4)*-0.051+(50166222*(1+0.07)^4)*-0.009)*(1+0.03)/(0.08-0.03)/(1+0.08)^7-32464-17720)/98040*1000</f>
        <v>168850.54552692661</v>
      </c>
      <c r="F23" s="74">
        <f>('DCF Valuation'!D20/(1+0.08)^0.5 + 'DCF Valuation'!E20/(1+0.08)^1.5 + 'DCF Valuation'!F20/(1+0.08)^2.5+(((50166222*(1+0.08)^1)*0.076*(1-0.19)+(50166222*(1+0.08)^1)*0.015+(50166222*(1+0.08)^1)*-0.051+(50166222*(1+0.08)^1)*-0.009)/(1+0.08)^3.5) + (((50166222*(1+0.08)^2)*0.076*(1-0.19)+(50166222*(1+0.08)^2)*0.015+(50166222*(1+0.08)^2)*-0.051+(50166222*(1+0.08)^2)*-0.009)/(1+0.08)^4.5) + (((50166222*(1+0.08)^3)*0.076*(1-0.19)+(50166222*(1+0.08)^3)*0.015+(50166222*(1+0.08)^3)*-0.051+(50166222*(1+0.08)^3)*-0.009)/(1+0.08)^5.5) + (((50166222*(1+0.08)^4)*0.076*(1-0.19)+(50166222*(1+0.08)^4)*0.015+(50166222*(1+0.08)^4)*-0.051+(50166222*(1+0.08)^4)*-0.009)/(1+0.08)^6.5)+((50166222*(1+0.08)^4)*0.076*(1-0.19)+(50166222*(1+0.08)^4)*0.015+(50166222*(1+0.08)^4)*-0.051+(50166222*(1+0.08)^4)*-0.009)*(1+0.03)/(0.08-0.03)/(1+0.08)^7-32464-17720)/98040*1000</f>
        <v>174553.17365784664</v>
      </c>
      <c r="G23" s="74">
        <f>('DCF Valuation'!D20/(1+0.08)^0.5 + 'DCF Valuation'!E20/(1+0.08)^1.5 + 'DCF Valuation'!F20/(1+0.08)^2.5+(((50166222*(1+0.09)^1)*0.076*(1-0.19)+(50166222*(1+0.09)^1)*0.015+(50166222*(1+0.09)^1)*-0.051+(50166222*(1+0.09)^1)*-0.009)/(1+0.08)^3.5) + (((50166222*(1+0.09)^2)*0.076*(1-0.19)+(50166222*(1+0.09)^2)*0.015+(50166222*(1+0.09)^2)*-0.051+(50166222*(1+0.09)^2)*-0.009)/(1+0.08)^4.5) + (((50166222*(1+0.09)^3)*0.076*(1-0.19)+(50166222*(1+0.09)^3)*0.015+(50166222*(1+0.09)^3)*-0.051+(50166222*(1+0.09)^3)*-0.009)/(1+0.08)^5.5) + (((50166222*(1+0.09)^4)*0.076*(1-0.19)+(50166222*(1+0.09)^4)*0.015+(50166222*(1+0.09)^4)*-0.051+(50166222*(1+0.09)^4)*-0.009)/(1+0.08)^6.5)+((50166222*(1+0.09)^4)*0.076*(1-0.19)+(50166222*(1+0.09)^4)*0.015+(50166222*(1+0.09)^4)*-0.051+(50166222*(1+0.09)^4)*-0.009)*(1+0.03)/(0.08-0.03)/(1+0.08)^7-32464-17720)/98040*1000</f>
        <v>180410.35054505576</v>
      </c>
      <c r="H23" s="74">
        <f>('DCF Valuation'!D20/(1+0.08)^0.5 + 'DCF Valuation'!E20/(1+0.08)^1.5 + 'DCF Valuation'!F20/(1+0.08)^2.5+(((50166222*(1+0.1)^1)*0.076*(1-0.19)+(50166222*(1+0.1)^1)*0.015+(50166222*(1+0.1)^1)*-0.051+(50166222*(1+0.1)^1)*-0.009)/(1+0.08)^3.5) + (((50166222*(1+0.1)^2)*0.076*(1-0.19)+(50166222*(1+0.1)^2)*0.015+(50166222*(1+0.1)^2)*-0.051+(50166222*(1+0.1)^2)*-0.009)/(1+0.08)^4.5) + (((50166222*(1+0.1)^3)*0.076*(1-0.19)+(50166222*(1+0.1)^3)*0.015+(50166222*(1+0.1)^3)*-0.051+(50166222*(1+0.1)^3)*-0.009)/(1+0.08)^5.5) + (((50166222*(1+0.1)^4)*0.076*(1-0.19)+(50166222*(1+0.1)^4)*0.015+(50166222*(1+0.1)^4)*-0.051+(50166222*(1+0.1)^4)*-0.009)/(1+0.08)^6.5)+((50166222*(1+0.1)^4)*0.076*(1-0.19)+(50166222*(1+0.1)^4)*0.015+(50166222*(1+0.1)^4)*-0.051+(50166222*(1+0.1)^4)*-0.009)*(1+0.03)/(0.08-0.03)/(1+0.08)^7-32464-17720)/98040*1000</f>
        <v>186424.89550881117</v>
      </c>
    </row>
    <row r="24" spans="2:10" ht="15" customHeight="1" x14ac:dyDescent="0.25">
      <c r="B24" s="72">
        <v>0.08</v>
      </c>
      <c r="C24" s="73"/>
      <c r="D24" s="74">
        <f>('DCF Valuation'!D20/(1+0.08)^0.5 + 'DCF Valuation'!E20/(1+0.08)^1.5 + 'DCF Valuation'!F20/(1+0.08)^2.5+(((50166222*(1+0.06)^1)*0.08*(1-0.19)+(50166222*(1+0.06)^1)*0.015+(50166222*(1+0.06)^1)*-0.051+(50166222*(1+0.06)^1)*-0.009)/(1+0.08)^3.5) + (((50166222*(1+0.06)^2)*0.08*(1-0.19)+(50166222*(1+0.06)^2)*0.015+(50166222*(1+0.06)^2)*-0.051+(50166222*(1+0.06)^2)*-0.009)/(1+0.08)^4.5) + (((50166222*(1+0.06)^3)*0.08*(1-0.19)+(50166222*(1+0.06)^3)*0.015+(50166222*(1+0.06)^3)*-0.051+(50166222*(1+0.06)^3)*-0.009)/(1+0.08)^5.5) + (((50166222*(1+0.06)^4)*0.08*(1-0.19)+(50166222*(1+0.06)^4)*0.015+(50166222*(1+0.06)^4)*-0.051+(50166222*(1+0.06)^4)*-0.009)/(1+0.08)^6.5)+((50166222*(1+0.06)^4)*0.08*(1-0.19)+(50166222*(1+0.06)^4)*0.015+(50166222*(1+0.06)^4)*-0.051+(50166222*(1+0.06)^4)*-0.009)*(1+0.03)/(0.08-0.03)/(1+0.08)^7-32464-17720)/98040*1000</f>
        <v>193679.95642306638</v>
      </c>
      <c r="E24" s="74">
        <f>('DCF Valuation'!D20/(1+0.08)^0.5 + 'DCF Valuation'!E20/(1+0.08)^1.5 + 'DCF Valuation'!F20/(1+0.08)^2.5+(((50166222*(1+0.07)^1)*0.08*(1-0.19)+(50166222*(1+0.07)^1)*0.015+(50166222*(1+0.07)^1)*-0.051+(50166222*(1+0.07)^1)*-0.009)/(1+0.08)^3.5) + (((50166222*(1+0.07)^2)*0.08*(1-0.19)+(50166222*(1+0.07)^2)*0.015+(50166222*(1+0.07)^2)*-0.051+(50166222*(1+0.07)^2)*-0.009)/(1+0.08)^4.5) + (((50166222*(1+0.07)^3)*0.08*(1-0.19)+(50166222*(1+0.07)^3)*0.015+(50166222*(1+0.07)^3)*-0.051+(50166222*(1+0.07)^3)*-0.009)/(1+0.08)^5.5) + (((50166222*(1+0.07)^4)*0.08*(1-0.19)+(50166222*(1+0.07)^4)*0.015+(50166222*(1+0.07)^4)*-0.051+(50166222*(1+0.07)^4)*-0.009)/(1+0.08)^6.5)+((50166222*(1+0.07)^4)*0.08*(1-0.19)+(50166222*(1+0.07)^4)*0.015+(50166222*(1+0.07)^4)*-0.051+(50166222*(1+0.07)^4)*-0.009)*(1+0.03)/(0.08-0.03)/(1+0.08)^7-32464-17720)/98040*1000</f>
        <v>200316.86981324852</v>
      </c>
      <c r="F24" s="74">
        <f>('DCF Valuation'!D20/(1+0.08)^0.5 + 'DCF Valuation'!E20/(1+0.08)^1.5 + 'DCF Valuation'!F20/(1+0.08)^2.5+(((50166222*(1+0.08)^1)*0.08*(1-0.19)+(50166222*(1+0.08)^1)*0.015+(50166222*(1+0.08)^1)*-0.051+(50166222*(1+0.08)^1)*-0.009)/(1+0.08)^3.5) + (((50166222*(1+0.08)^2)*0.08*(1-0.19)+(50166222*(1+0.08)^2)*0.015+(50166222*(1+0.08)^2)*-0.051+(50166222*(1+0.08)^2)*-0.009)/(1+0.08)^4.5) + (((50166222*(1+0.08)^3)*0.08*(1-0.19)+(50166222*(1+0.08)^3)*0.015+(50166222*(1+0.08)^3)*-0.051+(50166222*(1+0.08)^3)*-0.009)/(1+0.08)^5.5) + (((50166222*(1+0.08)^4)*0.08*(1-0.19)+(50166222*(1+0.08)^4)*0.015+(50166222*(1+0.08)^4)*-0.051+(50166222*(1+0.08)^4)*-0.009)/(1+0.08)^6.5)+((50166222*(1+0.08)^4)*0.08*(1-0.19)+(50166222*(1+0.08)^4)*0.015+(50166222*(1+0.08)^4)*-0.051+(50166222*(1+0.08)^4)*-0.009)*(1+0.03)/(0.08-0.03)/(1+0.08)^7-32464-17720)/98040*1000</f>
        <v>207135.2295350006</v>
      </c>
      <c r="G24" s="74">
        <f>('DCF Valuation'!D20/(1+0.08)^0.5 + 'DCF Valuation'!E20/(1+0.08)^1.5 + 'DCF Valuation'!F20/(1+0.08)^2.5+(((50166222*(1+0.09)^1)*0.08*(1-0.19)+(50166222*(1+0.09)^1)*0.015+(50166222*(1+0.09)^1)*-0.051+(50166222*(1+0.09)^1)*-0.009)/(1+0.08)^3.5) + (((50166222*(1+0.09)^2)*0.08*(1-0.19)+(50166222*(1+0.09)^2)*0.015+(50166222*(1+0.09)^2)*-0.051+(50166222*(1+0.09)^2)*-0.009)/(1+0.08)^4.5) + (((50166222*(1+0.09)^3)*0.08*(1-0.19)+(50166222*(1+0.09)^3)*0.015+(50166222*(1+0.09)^3)*-0.051+(50166222*(1+0.09)^3)*-0.009)/(1+0.08)^5.5) + (((50166222*(1+0.09)^4)*0.08*(1-0.19)+(50166222*(1+0.09)^4)*0.015+(50166222*(1+0.09)^4)*-0.051+(50166222*(1+0.09)^4)*-0.009)/(1+0.08)^6.5)+((50166222*(1+0.09)^4)*0.08*(1-0.19)+(50166222*(1+0.09)^4)*0.015+(50166222*(1+0.09)^4)*-0.051+(50166222*(1+0.09)^4)*-0.009)*(1+0.03)/(0.08-0.03)/(1+0.08)^7-32464-17720)/98040*1000</f>
        <v>214138.37581318538</v>
      </c>
      <c r="H24" s="74">
        <f>('DCF Valuation'!D20/(1+0.08)^0.5 + 'DCF Valuation'!E20/(1+0.08)^1.5 + 'DCF Valuation'!F20/(1+0.08)^2.5+(((50166222*(1+0.1)^1)*0.08*(1-0.19)+(50166222*(1+0.1)^1)*0.015+(50166222*(1+0.1)^1)*-0.051+(50166222*(1+0.1)^1)*-0.009)/(1+0.08)^3.5) + (((50166222*(1+0.1)^2)*0.08*(1-0.19)+(50166222*(1+0.1)^2)*0.015+(50166222*(1+0.1)^2)*-0.051+(50166222*(1+0.1)^2)*-0.009)/(1+0.08)^4.5) + (((50166222*(1+0.1)^3)*0.08*(1-0.19)+(50166222*(1+0.1)^3)*0.015+(50166222*(1+0.1)^3)*-0.051+(50166222*(1+0.1)^3)*-0.009)/(1+0.08)^5.5) + (((50166222*(1+0.1)^4)*0.08*(1-0.19)+(50166222*(1+0.1)^4)*0.015+(50166222*(1+0.1)^4)*-0.051+(50166222*(1+0.1)^4)*-0.009)/(1+0.08)^6.5)+((50166222*(1+0.1)^4)*0.08*(1-0.19)+(50166222*(1+0.1)^4)*0.015+(50166222*(1+0.1)^4)*-0.051+(50166222*(1+0.1)^4)*-0.009)*(1+0.03)/(0.08-0.03)/(1+0.08)^7-32464-17720)/98040*1000</f>
        <v>221329.67957419722</v>
      </c>
    </row>
    <row r="25" spans="2:10" ht="15" customHeight="1" x14ac:dyDescent="0.25">
      <c r="B25" s="17" t="s">
        <v>133</v>
      </c>
    </row>
    <row r="28" spans="2:10" ht="15" customHeight="1" x14ac:dyDescent="0.25">
      <c r="B28" s="100" t="s">
        <v>134</v>
      </c>
      <c r="C28" s="100"/>
      <c r="D28" s="100"/>
      <c r="E28" s="100"/>
      <c r="F28" s="100"/>
      <c r="G28" s="100"/>
      <c r="H28" s="100"/>
      <c r="I28" s="100"/>
      <c r="J28" s="100"/>
    </row>
    <row r="29" spans="2:10" ht="15" customHeight="1" x14ac:dyDescent="0.25">
      <c r="B29" s="101" t="s">
        <v>135</v>
      </c>
      <c r="C29" s="101"/>
      <c r="D29" s="35">
        <v>0.06</v>
      </c>
      <c r="E29" s="35">
        <v>6.4000000000000001E-2</v>
      </c>
      <c r="F29" s="35">
        <v>6.8000000000000005E-2</v>
      </c>
      <c r="G29" s="35">
        <v>7.1999999999999995E-2</v>
      </c>
      <c r="H29" s="35">
        <v>7.5999999999999998E-2</v>
      </c>
      <c r="I29" s="35">
        <v>0.08</v>
      </c>
    </row>
    <row r="30" spans="2:10" ht="15" customHeight="1" x14ac:dyDescent="0.25">
      <c r="B30" s="72">
        <v>7.0000000000000007E-2</v>
      </c>
      <c r="C30" s="73"/>
      <c r="D30" s="74">
        <f>('DCF Valuation'!D20/(1+0.07)^0.5 + 'DCF Valuation'!E20/(1+0.07)^1.5 + 'DCF Valuation'!F20/(1+0.07)^2.5+(((50166222*(1+0.09)^1)*0.06*(1-0.19)+(50166222*(1+0.09)^1)*0.015+(50166222*(1+0.09)^1)*-0.051+(50166222*(1+0.09)^1)*-0.009)/(1+0.07)^3.5) + (((50166222*(1+0.09)^2)*0.06*(1-0.19)+(50166222*(1+0.09)^2)*0.015+(50166222*(1+0.09)^2)*-0.051+(50166222*(1+0.09)^2)*-0.009)/(1+0.07)^4.5) + (((50166222*(1+0.09)^3)*0.06*(1-0.19)+(50166222*(1+0.09)^3)*0.015+(50166222*(1+0.09)^3)*-0.051+(50166222*(1+0.09)^3)*-0.009)/(1+0.07)^5.5) + (((50166222*(1+0.09)^4)*0.06*(1-0.19)+(50166222*(1+0.09)^4)*0.015+(50166222*(1+0.09)^4)*-0.051+(50166222*(1+0.09)^4)*-0.009)/(1+0.07)^6.5)+((50166222*(1+0.09)^4)*0.06*(1-0.19)+(50166222*(1+0.09)^4)*0.015+(50166222*(1+0.09)^4)*-0.051+(50166222*(1+0.09)^4)*-0.009)*(1+0.03)/(0.07-0.03)/(1+0.07)^7-32464-17720)/98040*1000</f>
        <v>56434.609607021674</v>
      </c>
      <c r="E30" s="74">
        <f>('DCF Valuation'!D20/(1+0.07)^0.5 + 'DCF Valuation'!E20/(1+0.07)^1.5 + 'DCF Valuation'!F20/(1+0.07)^2.5+(((50166222*(1+0.09)^1)*0.064*(1-0.19)+(50166222*(1+0.09)^1)*0.015+(50166222*(1+0.09)^1)*-0.051+(50166222*(1+0.09)^1)*-0.009)/(1+0.07)^3.5) + (((50166222*(1+0.09)^2)*0.064*(1-0.19)+(50166222*(1+0.09)^2)*0.015+(50166222*(1+0.09)^2)*-0.051+(50166222*(1+0.09)^2)*-0.009)/(1+0.07)^4.5) + (((50166222*(1+0.09)^3)*0.064*(1-0.19)+(50166222*(1+0.09)^3)*0.015+(50166222*(1+0.09)^3)*-0.051+(50166222*(1+0.09)^3)*-0.009)/(1+0.07)^5.5) + (((50166222*(1+0.09)^4)*0.064*(1-0.19)+(50166222*(1+0.09)^4)*0.015+(50166222*(1+0.09)^4)*-0.051+(50166222*(1+0.09)^4)*-0.009)/(1+0.07)^6.5)+((50166222*(1+0.09)^4)*0.064*(1-0.19)+(50166222*(1+0.09)^4)*0.015+(50166222*(1+0.09)^4)*-0.051+(50166222*(1+0.09)^4)*-0.009)*(1+0.03)/(0.07-0.03)/(1+0.07)^7-32464-17720)/98040*1000</f>
        <v>99828.286329308801</v>
      </c>
      <c r="F30" s="74">
        <f>('DCF Valuation'!D20/(1+0.07)^0.5 + 'DCF Valuation'!E20/(1+0.07)^1.5 + 'DCF Valuation'!F20/(1+0.07)^2.5+(((50166222*(1+0.09)^1)*0.068*(1-0.19)+(50166222*(1+0.09)^1)*0.015+(50166222*(1+0.09)^1)*-0.051+(50166222*(1+0.09)^1)*-0.009)/(1+0.07)^3.5) + (((50166222*(1+0.09)^2)*0.068*(1-0.19)+(50166222*(1+0.09)^2)*0.015+(50166222*(1+0.09)^2)*-0.051+(50166222*(1+0.09)^2)*-0.009)/(1+0.07)^4.5) + (((50166222*(1+0.09)^3)*0.068*(1-0.19)+(50166222*(1+0.09)^3)*0.015+(50166222*(1+0.09)^3)*-0.051+(50166222*(1+0.09)^3)*-0.009)/(1+0.07)^5.5) + (((50166222*(1+0.09)^4)*0.068*(1-0.19)+(50166222*(1+0.09)^4)*0.015+(50166222*(1+0.09)^4)*-0.051+(50166222*(1+0.09)^4)*-0.009)/(1+0.07)^6.5)+((50166222*(1+0.09)^4)*0.068*(1-0.19)+(50166222*(1+0.09)^4)*0.015+(50166222*(1+0.09)^4)*-0.051+(50166222*(1+0.09)^4)*-0.009)*(1+0.03)/(0.07-0.03)/(1+0.07)^7-32464-17720)/98040*1000</f>
        <v>143221.96305159575</v>
      </c>
      <c r="G30" s="74">
        <f>('DCF Valuation'!D20/(1+0.07)^0.5 + 'DCF Valuation'!E20/(1+0.07)^1.5 + 'DCF Valuation'!F20/(1+0.07)^2.5+(((50166222*(1+0.09)^1)*0.072*(1-0.19)+(50166222*(1+0.09)^1)*0.015+(50166222*(1+0.09)^1)*-0.051+(50166222*(1+0.09)^1)*-0.009)/(1+0.07)^3.5) + (((50166222*(1+0.09)^2)*0.072*(1-0.19)+(50166222*(1+0.09)^2)*0.015+(50166222*(1+0.09)^2)*-0.051+(50166222*(1+0.09)^2)*-0.009)/(1+0.07)^4.5) + (((50166222*(1+0.09)^3)*0.072*(1-0.19)+(50166222*(1+0.09)^3)*0.015+(50166222*(1+0.09)^3)*-0.051+(50166222*(1+0.09)^3)*-0.009)/(1+0.07)^5.5) + (((50166222*(1+0.09)^4)*0.072*(1-0.19)+(50166222*(1+0.09)^4)*0.015+(50166222*(1+0.09)^4)*-0.051+(50166222*(1+0.09)^4)*-0.009)/(1+0.07)^6.5)+((50166222*(1+0.09)^4)*0.072*(1-0.19)+(50166222*(1+0.09)^4)*0.015+(50166222*(1+0.09)^4)*-0.051+(50166222*(1+0.09)^4)*-0.009)*(1+0.03)/(0.07-0.03)/(1+0.07)^7-32464-17720)/98040*1000</f>
        <v>186615.63977388258</v>
      </c>
      <c r="H30" s="74">
        <f>('DCF Valuation'!D20/(1+0.07)^0.5 + 'DCF Valuation'!E20/(1+0.07)^1.5 + 'DCF Valuation'!F20/(1+0.07)^2.5+(((50166222*(1+0.09)^1)*0.076*(1-0.19)+(50166222*(1+0.09)^1)*0.015+(50166222*(1+0.09)^1)*-0.051+(50166222*(1+0.09)^1)*-0.009)/(1+0.07)^3.5) + (((50166222*(1+0.09)^2)*0.076*(1-0.19)+(50166222*(1+0.09)^2)*0.015+(50166222*(1+0.09)^2)*-0.051+(50166222*(1+0.09)^2)*-0.009)/(1+0.07)^4.5) + (((50166222*(1+0.09)^3)*0.076*(1-0.19)+(50166222*(1+0.09)^3)*0.015+(50166222*(1+0.09)^3)*-0.051+(50166222*(1+0.09)^3)*-0.009)/(1+0.07)^5.5) + (((50166222*(1+0.09)^4)*0.076*(1-0.19)+(50166222*(1+0.09)^4)*0.015+(50166222*(1+0.09)^4)*-0.051+(50166222*(1+0.09)^4)*-0.009)/(1+0.07)^6.5)+((50166222*(1+0.09)^4)*0.076*(1-0.19)+(50166222*(1+0.09)^4)*0.015+(50166222*(1+0.09)^4)*-0.051+(50166222*(1+0.09)^4)*-0.009)*(1+0.03)/(0.07-0.03)/(1+0.07)^7-32464-17720)/98040*1000</f>
        <v>230009.31649616951</v>
      </c>
      <c r="I30" s="74">
        <f>('DCF Valuation'!D20/(1+0.07)^0.5 + 'DCF Valuation'!E20/(1+0.07)^1.5 + 'DCF Valuation'!F20/(1+0.07)^2.5+(((50166222*(1+0.09)^1)*0.08*(1-0.19)+(50166222*(1+0.09)^1)*0.015+(50166222*(1+0.09)^1)*-0.051+(50166222*(1+0.09)^1)*-0.009)/(1+0.07)^3.5) + (((50166222*(1+0.09)^2)*0.08*(1-0.19)+(50166222*(1+0.09)^2)*0.015+(50166222*(1+0.09)^2)*-0.051+(50166222*(1+0.09)^2)*-0.009)/(1+0.07)^4.5) + (((50166222*(1+0.09)^3)*0.08*(1-0.19)+(50166222*(1+0.09)^3)*0.015+(50166222*(1+0.09)^3)*-0.051+(50166222*(1+0.09)^3)*-0.009)/(1+0.07)^5.5) + (((50166222*(1+0.09)^4)*0.08*(1-0.19)+(50166222*(1+0.09)^4)*0.015+(50166222*(1+0.09)^4)*-0.051+(50166222*(1+0.09)^4)*-0.009)/(1+0.07)^6.5)+((50166222*(1+0.09)^4)*0.08*(1-0.19)+(50166222*(1+0.09)^4)*0.015+(50166222*(1+0.09)^4)*-0.051+(50166222*(1+0.09)^4)*-0.009)*(1+0.03)/(0.07-0.03)/(1+0.07)^7-32464-17720)/98040*1000</f>
        <v>273402.99321845651</v>
      </c>
    </row>
    <row r="31" spans="2:10" ht="15" customHeight="1" x14ac:dyDescent="0.25">
      <c r="B31" s="72">
        <v>7.4999999999999997E-2</v>
      </c>
      <c r="C31" s="73"/>
      <c r="D31" s="74">
        <f>('DCF Valuation'!D20/(1+0.075)^0.5 + 'DCF Valuation'!E20/(1+0.075)^1.5 + 'DCF Valuation'!F20/(1+0.075)^2.5+(((50166222*(1+0.09)^1)*0.06*(1-0.19)+(50166222*(1+0.09)^1)*0.015+(50166222*(1+0.09)^1)*-0.051+(50166222*(1+0.09)^1)*-0.009)/(1+0.075)^3.5) + (((50166222*(1+0.09)^2)*0.06*(1-0.19)+(50166222*(1+0.09)^2)*0.015+(50166222*(1+0.09)^2)*-0.051+(50166222*(1+0.09)^2)*-0.009)/(1+0.075)^4.5) + (((50166222*(1+0.09)^3)*0.06*(1-0.19)+(50166222*(1+0.09)^3)*0.015+(50166222*(1+0.09)^3)*-0.051+(50166222*(1+0.09)^3)*-0.009)/(1+0.075)^5.5) + (((50166222*(1+0.09)^4)*0.06*(1-0.19)+(50166222*(1+0.09)^4)*0.015+(50166222*(1+0.09)^4)*-0.051+(50166222*(1+0.09)^4)*-0.009)/(1+0.075)^6.5)+((50166222*(1+0.09)^4)*0.06*(1-0.19)+(50166222*(1+0.09)^4)*0.015+(50166222*(1+0.09)^4)*-0.051+(50166222*(1+0.09)^4)*-0.009)*(1+0.03)/(0.075-0.03)/(1+0.075)^7-32464-17720)/98040*1000</f>
        <v>50361.641878176699</v>
      </c>
      <c r="E31" s="74">
        <f>('DCF Valuation'!D20/(1+0.075)^0.5 + 'DCF Valuation'!E20/(1+0.075)^1.5 + 'DCF Valuation'!F20/(1+0.075)^2.5+(((50166222*(1+0.09)^1)*0.064*(1-0.19)+(50166222*(1+0.09)^1)*0.015+(50166222*(1+0.09)^1)*-0.051+(50166222*(1+0.09)^1)*-0.009)/(1+0.075)^3.5) + (((50166222*(1+0.09)^2)*0.064*(1-0.19)+(50166222*(1+0.09)^2)*0.015+(50166222*(1+0.09)^2)*-0.051+(50166222*(1+0.09)^2)*-0.009)/(1+0.075)^4.5) + (((50166222*(1+0.09)^3)*0.064*(1-0.19)+(50166222*(1+0.09)^3)*0.015+(50166222*(1+0.09)^3)*-0.051+(50166222*(1+0.09)^3)*-0.009)/(1+0.075)^5.5) + (((50166222*(1+0.09)^4)*0.064*(1-0.19)+(50166222*(1+0.09)^4)*0.015+(50166222*(1+0.09)^4)*-0.051+(50166222*(1+0.09)^4)*-0.009)/(1+0.075)^6.5)+((50166222*(1+0.09)^4)*0.064*(1-0.19)+(50166222*(1+0.09)^4)*0.015+(50166222*(1+0.09)^4)*-0.051+(50166222*(1+0.09)^4)*-0.009)*(1+0.03)/(0.075-0.03)/(1+0.075)^7-32464-17720)/98040*1000</f>
        <v>88378.864031722274</v>
      </c>
      <c r="F31" s="74">
        <f>('DCF Valuation'!D20/(1+0.075)^0.5 + 'DCF Valuation'!E20/(1+0.075)^1.5 + 'DCF Valuation'!F20/(1+0.075)^2.5+(((50166222*(1+0.09)^1)*0.068*(1-0.19)+(50166222*(1+0.09)^1)*0.015+(50166222*(1+0.09)^1)*-0.051+(50166222*(1+0.09)^1)*-0.009)/(1+0.075)^3.5) + (((50166222*(1+0.09)^2)*0.068*(1-0.19)+(50166222*(1+0.09)^2)*0.015+(50166222*(1+0.09)^2)*-0.051+(50166222*(1+0.09)^2)*-0.009)/(1+0.075)^4.5) + (((50166222*(1+0.09)^3)*0.068*(1-0.19)+(50166222*(1+0.09)^3)*0.015+(50166222*(1+0.09)^3)*-0.051+(50166222*(1+0.09)^3)*-0.009)/(1+0.075)^5.5) + (((50166222*(1+0.09)^4)*0.068*(1-0.19)+(50166222*(1+0.09)^4)*0.015+(50166222*(1+0.09)^4)*-0.051+(50166222*(1+0.09)^4)*-0.009)/(1+0.075)^6.5)+((50166222*(1+0.09)^4)*0.068*(1-0.19)+(50166222*(1+0.09)^4)*0.015+(50166222*(1+0.09)^4)*-0.051+(50166222*(1+0.09)^4)*-0.009)*(1+0.03)/(0.075-0.03)/(1+0.075)^7-32464-17720)/98040*1000</f>
        <v>126396.08618526772</v>
      </c>
      <c r="G31" s="74">
        <f>('DCF Valuation'!D20/(1+0.075)^0.5 + 'DCF Valuation'!E20/(1+0.075)^1.5 + 'DCF Valuation'!F20/(1+0.075)^2.5+(((50166222*(1+0.09)^1)*0.072*(1-0.19)+(50166222*(1+0.09)^1)*0.015+(50166222*(1+0.09)^1)*-0.051+(50166222*(1+0.09)^1)*-0.009)/(1+0.075)^3.5) + (((50166222*(1+0.09)^2)*0.072*(1-0.19)+(50166222*(1+0.09)^2)*0.015+(50166222*(1+0.09)^2)*-0.051+(50166222*(1+0.09)^2)*-0.009)/(1+0.075)^4.5) + (((50166222*(1+0.09)^3)*0.072*(1-0.19)+(50166222*(1+0.09)^3)*0.015+(50166222*(1+0.09)^3)*-0.051+(50166222*(1+0.09)^3)*-0.009)/(1+0.075)^5.5) + (((50166222*(1+0.09)^4)*0.072*(1-0.19)+(50166222*(1+0.09)^4)*0.015+(50166222*(1+0.09)^4)*-0.051+(50166222*(1+0.09)^4)*-0.009)/(1+0.075)^6.5)+((50166222*(1+0.09)^4)*0.072*(1-0.19)+(50166222*(1+0.09)^4)*0.015+(50166222*(1+0.09)^4)*-0.051+(50166222*(1+0.09)^4)*-0.009)*(1+0.03)/(0.075-0.03)/(1+0.075)^7-32464-17720)/98040*1000</f>
        <v>164413.30833881299</v>
      </c>
      <c r="H31" s="74">
        <f>('DCF Valuation'!D20/(1+0.075)^0.5 + 'DCF Valuation'!E20/(1+0.075)^1.5 + 'DCF Valuation'!F20/(1+0.075)^2.5+(((50166222*(1+0.09)^1)*0.076*(1-0.19)+(50166222*(1+0.09)^1)*0.015+(50166222*(1+0.09)^1)*-0.051+(50166222*(1+0.09)^1)*-0.009)/(1+0.075)^3.5) + (((50166222*(1+0.09)^2)*0.076*(1-0.19)+(50166222*(1+0.09)^2)*0.015+(50166222*(1+0.09)^2)*-0.051+(50166222*(1+0.09)^2)*-0.009)/(1+0.075)^4.5) + (((50166222*(1+0.09)^3)*0.076*(1-0.19)+(50166222*(1+0.09)^3)*0.015+(50166222*(1+0.09)^3)*-0.051+(50166222*(1+0.09)^3)*-0.009)/(1+0.075)^5.5) + (((50166222*(1+0.09)^4)*0.076*(1-0.19)+(50166222*(1+0.09)^4)*0.015+(50166222*(1+0.09)^4)*-0.051+(50166222*(1+0.09)^4)*-0.009)/(1+0.075)^6.5)+((50166222*(1+0.09)^4)*0.076*(1-0.19)+(50166222*(1+0.09)^4)*0.015+(50166222*(1+0.09)^4)*-0.051+(50166222*(1+0.09)^4)*-0.009)*(1+0.03)/(0.075-0.03)/(1+0.075)^7-32464-17720)/98040*1000</f>
        <v>202430.53049235838</v>
      </c>
      <c r="I31" s="74">
        <f>('DCF Valuation'!D20/(1+0.075)^0.5 + 'DCF Valuation'!E20/(1+0.075)^1.5 + 'DCF Valuation'!F20/(1+0.075)^2.5+(((50166222*(1+0.09)^1)*0.08*(1-0.19)+(50166222*(1+0.09)^1)*0.015+(50166222*(1+0.09)^1)*-0.051+(50166222*(1+0.09)^1)*-0.009)/(1+0.075)^3.5) + (((50166222*(1+0.09)^2)*0.08*(1-0.19)+(50166222*(1+0.09)^2)*0.015+(50166222*(1+0.09)^2)*-0.051+(50166222*(1+0.09)^2)*-0.009)/(1+0.075)^4.5) + (((50166222*(1+0.09)^3)*0.08*(1-0.19)+(50166222*(1+0.09)^3)*0.015+(50166222*(1+0.09)^3)*-0.051+(50166222*(1+0.09)^3)*-0.009)/(1+0.075)^5.5) + (((50166222*(1+0.09)^4)*0.08*(1-0.19)+(50166222*(1+0.09)^4)*0.015+(50166222*(1+0.09)^4)*-0.051+(50166222*(1+0.09)^4)*-0.009)/(1+0.075)^6.5)+((50166222*(1+0.09)^4)*0.08*(1-0.19)+(50166222*(1+0.09)^4)*0.015+(50166222*(1+0.09)^4)*-0.051+(50166222*(1+0.09)^4)*-0.009)*(1+0.03)/(0.075-0.03)/(1+0.075)^7-32464-17720)/98040*1000</f>
        <v>240447.75264590385</v>
      </c>
    </row>
    <row r="32" spans="2:10" ht="15" customHeight="1" x14ac:dyDescent="0.25">
      <c r="B32" s="72">
        <v>0.08</v>
      </c>
      <c r="C32" s="73"/>
      <c r="D32" s="74">
        <f>('DCF Valuation'!D20/(1+0.08)^0.5 + 'DCF Valuation'!E20/(1+0.08)^1.5 + 'DCF Valuation'!F20/(1+0.08)^2.5+(((50166222*(1+0.09)^1)*0.06*(1-0.19)+(50166222*(1+0.09)^1)*0.015+(50166222*(1+0.09)^1)*-0.051+(50166222*(1+0.09)^1)*-0.009)/(1+0.08)^3.5) + (((50166222*(1+0.09)^2)*0.06*(1-0.19)+(50166222*(1+0.09)^2)*0.015+(50166222*(1+0.09)^2)*-0.051+(50166222*(1+0.09)^2)*-0.009)/(1+0.08)^4.5) + (((50166222*(1+0.09)^3)*0.06*(1-0.19)+(50166222*(1+0.09)^3)*0.015+(50166222*(1+0.09)^3)*-0.051+(50166222*(1+0.09)^3)*-0.009)/(1+0.08)^5.5) + (((50166222*(1+0.09)^4)*0.06*(1-0.19)+(50166222*(1+0.09)^4)*0.015+(50166222*(1+0.09)^4)*-0.051+(50166222*(1+0.09)^4)*-0.009)/(1+0.08)^6.5)+((50166222*(1+0.09)^4)*0.06*(1-0.19)+(50166222*(1+0.09)^4)*0.015+(50166222*(1+0.09)^4)*-0.051+(50166222*(1+0.09)^4)*-0.009)*(1+0.03)/(0.08-0.03)/(1+0.08)^7-32464-17720)/98040*1000</f>
        <v>45498.249472537398</v>
      </c>
      <c r="E32" s="74">
        <f>('DCF Valuation'!D20/(1+0.08)^0.5 + 'DCF Valuation'!E20/(1+0.08)^1.5 + 'DCF Valuation'!F20/(1+0.08)^2.5+(((50166222*(1+0.09)^1)*0.064*(1-0.19)+(50166222*(1+0.09)^1)*0.015+(50166222*(1+0.09)^1)*-0.051+(50166222*(1+0.09)^1)*-0.009)/(1+0.08)^3.5) + (((50166222*(1+0.09)^2)*0.064*(1-0.19)+(50166222*(1+0.09)^2)*0.015+(50166222*(1+0.09)^2)*-0.051+(50166222*(1+0.09)^2)*-0.009)/(1+0.08)^4.5) + (((50166222*(1+0.09)^3)*0.064*(1-0.19)+(50166222*(1+0.09)^3)*0.015+(50166222*(1+0.09)^3)*-0.051+(50166222*(1+0.09)^3)*-0.009)/(1+0.08)^5.5) + (((50166222*(1+0.09)^4)*0.064*(1-0.19)+(50166222*(1+0.09)^4)*0.015+(50166222*(1+0.09)^4)*-0.051+(50166222*(1+0.09)^4)*-0.009)/(1+0.08)^6.5)+((50166222*(1+0.09)^4)*0.064*(1-0.19)+(50166222*(1+0.09)^4)*0.015+(50166222*(1+0.09)^4)*-0.051+(50166222*(1+0.09)^4)*-0.009)*(1+0.03)/(0.08-0.03)/(1+0.08)^7-32464-17720)/98040*1000</f>
        <v>79226.274740667111</v>
      </c>
      <c r="F32" s="75">
        <f>('DCF Valuation'!D20/(1+0.08)^0.5 + 'DCF Valuation'!E20/(1+0.08)^1.5 + 'DCF Valuation'!F20/(1+0.08)^2.5+(((50166222*(1+0.09)^1)*0.068*(1-0.19)+(50166222*(1+0.09)^1)*0.015+(50166222*(1+0.09)^1)*-0.051+(50166222*(1+0.09)^1)*-0.009)/(1+0.08)^3.5) + (((50166222*(1+0.09)^2)*0.068*(1-0.19)+(50166222*(1+0.09)^2)*0.015+(50166222*(1+0.09)^2)*-0.051+(50166222*(1+0.09)^2)*-0.009)/(1+0.08)^4.5) + (((50166222*(1+0.09)^3)*0.068*(1-0.19)+(50166222*(1+0.09)^3)*0.015+(50166222*(1+0.09)^3)*-0.051+(50166222*(1+0.09)^3)*-0.009)/(1+0.08)^5.5) + (((50166222*(1+0.09)^4)*0.068*(1-0.19)+(50166222*(1+0.09)^4)*0.015+(50166222*(1+0.09)^4)*-0.051+(50166222*(1+0.09)^4)*-0.009)/(1+0.08)^6.5)+((50166222*(1+0.09)^4)*0.068*(1-0.19)+(50166222*(1+0.09)^4)*0.015+(50166222*(1+0.09)^4)*-0.051+(50166222*(1+0.09)^4)*-0.009)*(1+0.03)/(0.08-0.03)/(1+0.08)^7-32464-17720)/98040*1000</f>
        <v>112954.30000879671</v>
      </c>
      <c r="G32" s="74">
        <f>('DCF Valuation'!D20/(1+0.08)^0.5 + 'DCF Valuation'!E20/(1+0.08)^1.5 + 'DCF Valuation'!F20/(1+0.08)^2.5+(((50166222*(1+0.09)^1)*0.072*(1-0.19)+(50166222*(1+0.09)^1)*0.015+(50166222*(1+0.09)^1)*-0.051+(50166222*(1+0.09)^1)*-0.009)/(1+0.08)^3.5) + (((50166222*(1+0.09)^2)*0.072*(1-0.19)+(50166222*(1+0.09)^2)*0.015+(50166222*(1+0.09)^2)*-0.051+(50166222*(1+0.09)^2)*-0.009)/(1+0.08)^4.5) + (((50166222*(1+0.09)^3)*0.072*(1-0.19)+(50166222*(1+0.09)^3)*0.015+(50166222*(1+0.09)^3)*-0.051+(50166222*(1+0.09)^3)*-0.009)/(1+0.08)^5.5) + (((50166222*(1+0.09)^4)*0.072*(1-0.19)+(50166222*(1+0.09)^4)*0.015+(50166222*(1+0.09)^4)*-0.051+(50166222*(1+0.09)^4)*-0.009)/(1+0.08)^6.5)+((50166222*(1+0.09)^4)*0.072*(1-0.19)+(50166222*(1+0.09)^4)*0.015+(50166222*(1+0.09)^4)*-0.051+(50166222*(1+0.09)^4)*-0.009)*(1+0.03)/(0.08-0.03)/(1+0.08)^7-32464-17720)/98040*1000</f>
        <v>146682.32527692616</v>
      </c>
      <c r="H32" s="74">
        <f>('DCF Valuation'!D20/(1+0.08)^0.5 + 'DCF Valuation'!E20/(1+0.08)^1.5 + 'DCF Valuation'!F20/(1+0.08)^2.5+(((50166222*(1+0.09)^1)*0.076*(1-0.19)+(50166222*(1+0.09)^1)*0.015+(50166222*(1+0.09)^1)*-0.051+(50166222*(1+0.09)^1)*-0.009)/(1+0.08)^3.5) + (((50166222*(1+0.09)^2)*0.076*(1-0.19)+(50166222*(1+0.09)^2)*0.015+(50166222*(1+0.09)^2)*-0.051+(50166222*(1+0.09)^2)*-0.009)/(1+0.08)^4.5) + (((50166222*(1+0.09)^3)*0.076*(1-0.19)+(50166222*(1+0.09)^3)*0.015+(50166222*(1+0.09)^3)*-0.051+(50166222*(1+0.09)^3)*-0.009)/(1+0.08)^5.5) + (((50166222*(1+0.09)^4)*0.076*(1-0.19)+(50166222*(1+0.09)^4)*0.015+(50166222*(1+0.09)^4)*-0.051+(50166222*(1+0.09)^4)*-0.009)/(1+0.08)^6.5)+((50166222*(1+0.09)^4)*0.076*(1-0.19)+(50166222*(1+0.09)^4)*0.015+(50166222*(1+0.09)^4)*-0.051+(50166222*(1+0.09)^4)*-0.009)*(1+0.03)/(0.08-0.03)/(1+0.08)^7-32464-17720)/98040*1000</f>
        <v>180410.35054505576</v>
      </c>
      <c r="I32" s="74">
        <f>('DCF Valuation'!D20/(1+0.08)^0.5 + 'DCF Valuation'!E20/(1+0.08)^1.5 + 'DCF Valuation'!F20/(1+0.08)^2.5+(((50166222*(1+0.09)^1)*0.08*(1-0.19)+(50166222*(1+0.09)^1)*0.015+(50166222*(1+0.09)^1)*-0.051+(50166222*(1+0.09)^1)*-0.009)/(1+0.08)^3.5) + (((50166222*(1+0.09)^2)*0.08*(1-0.19)+(50166222*(1+0.09)^2)*0.015+(50166222*(1+0.09)^2)*-0.051+(50166222*(1+0.09)^2)*-0.009)/(1+0.08)^4.5) + (((50166222*(1+0.09)^3)*0.08*(1-0.19)+(50166222*(1+0.09)^3)*0.015+(50166222*(1+0.09)^3)*-0.051+(50166222*(1+0.09)^3)*-0.009)/(1+0.08)^5.5) + (((50166222*(1+0.09)^4)*0.08*(1-0.19)+(50166222*(1+0.09)^4)*0.015+(50166222*(1+0.09)^4)*-0.051+(50166222*(1+0.09)^4)*-0.009)/(1+0.08)^6.5)+((50166222*(1+0.09)^4)*0.08*(1-0.19)+(50166222*(1+0.09)^4)*0.015+(50166222*(1+0.09)^4)*-0.051+(50166222*(1+0.09)^4)*-0.009)*(1+0.03)/(0.08-0.03)/(1+0.08)^7-32464-17720)/98040*1000</f>
        <v>214138.37581318538</v>
      </c>
    </row>
    <row r="33" spans="2:9" ht="15" customHeight="1" x14ac:dyDescent="0.25">
      <c r="B33" s="72">
        <v>8.5000000000000006E-2</v>
      </c>
      <c r="C33" s="73"/>
      <c r="D33" s="74">
        <f>('DCF Valuation'!D20/(1+0.085)^0.5 + 'DCF Valuation'!E20/(1+0.085)^1.5 + 'DCF Valuation'!F20/(1+0.085)^2.5+(((50166222*(1+0.09)^1)*0.06*(1-0.19)+(50166222*(1+0.09)^1)*0.015+(50166222*(1+0.09)^1)*-0.051+(50166222*(1+0.09)^1)*-0.009)/(1+0.085)^3.5) + (((50166222*(1+0.09)^2)*0.06*(1-0.19)+(50166222*(1+0.09)^2)*0.015+(50166222*(1+0.09)^2)*-0.051+(50166222*(1+0.09)^2)*-0.009)/(1+0.085)^4.5) + (((50166222*(1+0.09)^3)*0.06*(1-0.19)+(50166222*(1+0.09)^3)*0.015+(50166222*(1+0.09)^3)*-0.051+(50166222*(1+0.09)^3)*-0.009)/(1+0.085)^5.5) + (((50166222*(1+0.09)^4)*0.06*(1-0.19)+(50166222*(1+0.09)^4)*0.015+(50166222*(1+0.09)^4)*-0.051+(50166222*(1+0.09)^4)*-0.009)/(1+0.085)^6.5)+((50166222*(1+0.09)^4)*0.06*(1-0.19)+(50166222*(1+0.09)^4)*0.015+(50166222*(1+0.09)^4)*-0.051+(50166222*(1+0.09)^4)*-0.009)*(1+0.03)/(0.085-0.03)/(1+0.085)^7-32464-17720)/98040*1000</f>
        <v>41514.509601870173</v>
      </c>
      <c r="E33" s="74">
        <f>('DCF Valuation'!D20/(1+0.085)^0.5 + 'DCF Valuation'!E20/(1+0.085)^1.5 + 'DCF Valuation'!F20/(1+0.085)^2.5+(((50166222*(1+0.09)^1)*0.064*(1-0.19)+(50166222*(1+0.09)^1)*0.015+(50166222*(1+0.09)^1)*-0.051+(50166222*(1+0.09)^1)*-0.009)/(1+0.085)^3.5) + (((50166222*(1+0.09)^2)*0.064*(1-0.19)+(50166222*(1+0.09)^2)*0.015+(50166222*(1+0.09)^2)*-0.051+(50166222*(1+0.09)^2)*-0.009)/(1+0.085)^4.5) + (((50166222*(1+0.09)^3)*0.064*(1-0.19)+(50166222*(1+0.09)^3)*0.015+(50166222*(1+0.09)^3)*-0.051+(50166222*(1+0.09)^3)*-0.009)/(1+0.085)^5.5) + (((50166222*(1+0.09)^4)*0.064*(1-0.19)+(50166222*(1+0.09)^4)*0.015+(50166222*(1+0.09)^4)*-0.051+(50166222*(1+0.09)^4)*-0.009)/(1+0.085)^6.5)+((50166222*(1+0.09)^4)*0.064*(1-0.19)+(50166222*(1+0.09)^4)*0.015+(50166222*(1+0.09)^4)*-0.051+(50166222*(1+0.09)^4)*-0.009)*(1+0.03)/(0.085-0.03)/(1+0.085)^7-32464-17720)/98040*1000</f>
        <v>71743.692185970591</v>
      </c>
      <c r="F33" s="74">
        <f>('DCF Valuation'!D20/(1+0.085)^0.5 + 'DCF Valuation'!E20/(1+0.085)^1.5 + 'DCF Valuation'!F20/(1+0.085)^2.5+(((50166222*(1+0.09)^1)*0.068*(1-0.19)+(50166222*(1+0.09)^1)*0.015+(50166222*(1+0.09)^1)*-0.051+(50166222*(1+0.09)^1)*-0.009)/(1+0.085)^3.5) + (((50166222*(1+0.09)^2)*0.068*(1-0.19)+(50166222*(1+0.09)^2)*0.015+(50166222*(1+0.09)^2)*-0.051+(50166222*(1+0.09)^2)*-0.009)/(1+0.085)^4.5) + (((50166222*(1+0.09)^3)*0.068*(1-0.19)+(50166222*(1+0.09)^3)*0.015+(50166222*(1+0.09)^3)*-0.051+(50166222*(1+0.09)^3)*-0.009)/(1+0.085)^5.5) + (((50166222*(1+0.09)^4)*0.068*(1-0.19)+(50166222*(1+0.09)^4)*0.015+(50166222*(1+0.09)^4)*-0.051+(50166222*(1+0.09)^4)*-0.009)/(1+0.085)^6.5)+((50166222*(1+0.09)^4)*0.068*(1-0.19)+(50166222*(1+0.09)^4)*0.015+(50166222*(1+0.09)^4)*-0.051+(50166222*(1+0.09)^4)*-0.009)*(1+0.03)/(0.085-0.03)/(1+0.085)^7-32464-17720)/98040*1000</f>
        <v>101972.87477007089</v>
      </c>
      <c r="G33" s="74">
        <f>('DCF Valuation'!D20/(1+0.085)^0.5 + 'DCF Valuation'!E20/(1+0.085)^1.5 + 'DCF Valuation'!F20/(1+0.085)^2.5+(((50166222*(1+0.09)^1)*0.072*(1-0.19)+(50166222*(1+0.09)^1)*0.015+(50166222*(1+0.09)^1)*-0.051+(50166222*(1+0.09)^1)*-0.009)/(1+0.085)^3.5) + (((50166222*(1+0.09)^2)*0.072*(1-0.19)+(50166222*(1+0.09)^2)*0.015+(50166222*(1+0.09)^2)*-0.051+(50166222*(1+0.09)^2)*-0.009)/(1+0.085)^4.5) + (((50166222*(1+0.09)^3)*0.072*(1-0.19)+(50166222*(1+0.09)^3)*0.015+(50166222*(1+0.09)^3)*-0.051+(50166222*(1+0.09)^3)*-0.009)/(1+0.085)^5.5) + (((50166222*(1+0.09)^4)*0.072*(1-0.19)+(50166222*(1+0.09)^4)*0.015+(50166222*(1+0.09)^4)*-0.051+(50166222*(1+0.09)^4)*-0.009)/(1+0.085)^6.5)+((50166222*(1+0.09)^4)*0.072*(1-0.19)+(50166222*(1+0.09)^4)*0.015+(50166222*(1+0.09)^4)*-0.051+(50166222*(1+0.09)^4)*-0.009)*(1+0.03)/(0.085-0.03)/(1+0.085)^7-32464-17720)/98040*1000</f>
        <v>132202.05735417106</v>
      </c>
      <c r="H33" s="74">
        <f>('DCF Valuation'!D20/(1+0.085)^0.5 + 'DCF Valuation'!E20/(1+0.085)^1.5 + 'DCF Valuation'!F20/(1+0.085)^2.5+(((50166222*(1+0.09)^1)*0.076*(1-0.19)+(50166222*(1+0.09)^1)*0.015+(50166222*(1+0.09)^1)*-0.051+(50166222*(1+0.09)^1)*-0.009)/(1+0.085)^3.5) + (((50166222*(1+0.09)^2)*0.076*(1-0.19)+(50166222*(1+0.09)^2)*0.015+(50166222*(1+0.09)^2)*-0.051+(50166222*(1+0.09)^2)*-0.009)/(1+0.085)^4.5) + (((50166222*(1+0.09)^3)*0.076*(1-0.19)+(50166222*(1+0.09)^3)*0.015+(50166222*(1+0.09)^3)*-0.051+(50166222*(1+0.09)^3)*-0.009)/(1+0.085)^5.5) + (((50166222*(1+0.09)^4)*0.076*(1-0.19)+(50166222*(1+0.09)^4)*0.015+(50166222*(1+0.09)^4)*-0.051+(50166222*(1+0.09)^4)*-0.009)/(1+0.085)^6.5)+((50166222*(1+0.09)^4)*0.076*(1-0.19)+(50166222*(1+0.09)^4)*0.015+(50166222*(1+0.09)^4)*-0.051+(50166222*(1+0.09)^4)*-0.009)*(1+0.03)/(0.085-0.03)/(1+0.085)^7-32464-17720)/98040*1000</f>
        <v>162431.23993827138</v>
      </c>
      <c r="I33" s="74">
        <f>('DCF Valuation'!D20/(1+0.085)^0.5 + 'DCF Valuation'!E20/(1+0.085)^1.5 + 'DCF Valuation'!F20/(1+0.085)^2.5+(((50166222*(1+0.09)^1)*0.08*(1-0.19)+(50166222*(1+0.09)^1)*0.015+(50166222*(1+0.09)^1)*-0.051+(50166222*(1+0.09)^1)*-0.009)/(1+0.085)^3.5) + (((50166222*(1+0.09)^2)*0.08*(1-0.19)+(50166222*(1+0.09)^2)*0.015+(50166222*(1+0.09)^2)*-0.051+(50166222*(1+0.09)^2)*-0.009)/(1+0.085)^4.5) + (((50166222*(1+0.09)^3)*0.08*(1-0.19)+(50166222*(1+0.09)^3)*0.015+(50166222*(1+0.09)^3)*-0.051+(50166222*(1+0.09)^3)*-0.009)/(1+0.085)^5.5) + (((50166222*(1+0.09)^4)*0.08*(1-0.19)+(50166222*(1+0.09)^4)*0.015+(50166222*(1+0.09)^4)*-0.051+(50166222*(1+0.09)^4)*-0.009)/(1+0.085)^6.5)+((50166222*(1+0.09)^4)*0.08*(1-0.19)+(50166222*(1+0.09)^4)*0.015+(50166222*(1+0.09)^4)*-0.051+(50166222*(1+0.09)^4)*-0.009)*(1+0.03)/(0.085-0.03)/(1+0.085)^7-32464-17720)/98040*1000</f>
        <v>192660.42252237166</v>
      </c>
    </row>
    <row r="34" spans="2:9" ht="15" customHeight="1" x14ac:dyDescent="0.25">
      <c r="B34" s="72">
        <v>0.09</v>
      </c>
      <c r="C34" s="73"/>
      <c r="D34" s="74">
        <f>('DCF Valuation'!D20/(1+0.09)^0.5 + 'DCF Valuation'!E20/(1+0.09)^1.5 + 'DCF Valuation'!F20/(1+0.09)^2.5+(((50166222*(1+0.09)^1)*0.06*(1-0.19)+(50166222*(1+0.09)^1)*0.015+(50166222*(1+0.09)^1)*-0.051+(50166222*(1+0.09)^1)*-0.009)/(1+0.09)^3.5) + (((50166222*(1+0.09)^2)*0.06*(1-0.19)+(50166222*(1+0.09)^2)*0.015+(50166222*(1+0.09)^2)*-0.051+(50166222*(1+0.09)^2)*-0.009)/(1+0.09)^4.5) + (((50166222*(1+0.09)^3)*0.06*(1-0.19)+(50166222*(1+0.09)^3)*0.015+(50166222*(1+0.09)^3)*-0.051+(50166222*(1+0.09)^3)*-0.009)/(1+0.09)^5.5) + (((50166222*(1+0.09)^4)*0.06*(1-0.19)+(50166222*(1+0.09)^4)*0.015+(50166222*(1+0.09)^4)*-0.051+(50166222*(1+0.09)^4)*-0.009)/(1+0.09)^6.5)+((50166222*(1+0.09)^4)*0.06*(1-0.19)+(50166222*(1+0.09)^4)*0.015+(50166222*(1+0.09)^4)*-0.051+(50166222*(1+0.09)^4)*-0.009)*(1+0.03)/(0.09-0.03)/(1+0.09)^7-32464-17720)/98040*1000</f>
        <v>38190.481465972465</v>
      </c>
      <c r="E34" s="74">
        <f>('DCF Valuation'!D20/(1+0.09)^0.5 + 'DCF Valuation'!E20/(1+0.09)^1.5 + 'DCF Valuation'!F20/(1+0.09)^2.5+(((50166222*(1+0.09)^1)*0.064*(1-0.19)+(50166222*(1+0.09)^1)*0.015+(50166222*(1+0.09)^1)*-0.051+(50166222*(1+0.09)^1)*-0.009)/(1+0.09)^3.5) + (((50166222*(1+0.09)^2)*0.064*(1-0.19)+(50166222*(1+0.09)^2)*0.015+(50166222*(1+0.09)^2)*-0.051+(50166222*(1+0.09)^2)*-0.009)/(1+0.09)^4.5) + (((50166222*(1+0.09)^3)*0.064*(1-0.19)+(50166222*(1+0.09)^3)*0.015+(50166222*(1+0.09)^3)*-0.051+(50166222*(1+0.09)^3)*-0.009)/(1+0.09)^5.5) + (((50166222*(1+0.09)^4)*0.064*(1-0.19)+(50166222*(1+0.09)^4)*0.015+(50166222*(1+0.09)^4)*-0.051+(50166222*(1+0.09)^4)*-0.009)/(1+0.09)^6.5)+((50166222*(1+0.09)^4)*0.064*(1-0.19)+(50166222*(1+0.09)^4)*0.015+(50166222*(1+0.09)^4)*-0.051+(50166222*(1+0.09)^4)*-0.009)*(1+0.03)/(0.09-0.03)/(1+0.09)^7-32464-17720)/98040*1000</f>
        <v>65513.255213529403</v>
      </c>
      <c r="F34" s="74">
        <f>('DCF Valuation'!D20/(1+0.09)^0.5 + 'DCF Valuation'!E20/(1+0.09)^1.5 + 'DCF Valuation'!F20/(1+0.09)^2.5+(((50166222*(1+0.09)^1)*0.068*(1-0.19)+(50166222*(1+0.09)^1)*0.015+(50166222*(1+0.09)^1)*-0.051+(50166222*(1+0.09)^1)*-0.009)/(1+0.09)^3.5) + (((50166222*(1+0.09)^2)*0.068*(1-0.19)+(50166222*(1+0.09)^2)*0.015+(50166222*(1+0.09)^2)*-0.051+(50166222*(1+0.09)^2)*-0.009)/(1+0.09)^4.5) + (((50166222*(1+0.09)^3)*0.068*(1-0.19)+(50166222*(1+0.09)^3)*0.015+(50166222*(1+0.09)^3)*-0.051+(50166222*(1+0.09)^3)*-0.009)/(1+0.09)^5.5) + (((50166222*(1+0.09)^4)*0.068*(1-0.19)+(50166222*(1+0.09)^4)*0.015+(50166222*(1+0.09)^4)*-0.051+(50166222*(1+0.09)^4)*-0.009)/(1+0.09)^6.5)+((50166222*(1+0.09)^4)*0.068*(1-0.19)+(50166222*(1+0.09)^4)*0.015+(50166222*(1+0.09)^4)*-0.051+(50166222*(1+0.09)^4)*-0.009)*(1+0.03)/(0.09-0.03)/(1+0.09)^7-32464-17720)/98040*1000</f>
        <v>92836.028961086238</v>
      </c>
      <c r="G34" s="74">
        <f>('DCF Valuation'!D20/(1+0.09)^0.5 + 'DCF Valuation'!E20/(1+0.09)^1.5 + 'DCF Valuation'!F20/(1+0.09)^2.5+(((50166222*(1+0.09)^1)*0.072*(1-0.19)+(50166222*(1+0.09)^1)*0.015+(50166222*(1+0.09)^1)*-0.051+(50166222*(1+0.09)^1)*-0.009)/(1+0.09)^3.5) + (((50166222*(1+0.09)^2)*0.072*(1-0.19)+(50166222*(1+0.09)^2)*0.015+(50166222*(1+0.09)^2)*-0.051+(50166222*(1+0.09)^2)*-0.009)/(1+0.09)^4.5) + (((50166222*(1+0.09)^3)*0.072*(1-0.19)+(50166222*(1+0.09)^3)*0.015+(50166222*(1+0.09)^3)*-0.051+(50166222*(1+0.09)^3)*-0.009)/(1+0.09)^5.5) + (((50166222*(1+0.09)^4)*0.072*(1-0.19)+(50166222*(1+0.09)^4)*0.015+(50166222*(1+0.09)^4)*-0.051+(50166222*(1+0.09)^4)*-0.009)/(1+0.09)^6.5)+((50166222*(1+0.09)^4)*0.072*(1-0.19)+(50166222*(1+0.09)^4)*0.015+(50166222*(1+0.09)^4)*-0.051+(50166222*(1+0.09)^4)*-0.009)*(1+0.03)/(0.09-0.03)/(1+0.09)^7-32464-17720)/98040*1000</f>
        <v>120158.80270864299</v>
      </c>
      <c r="H34" s="74">
        <f>('DCF Valuation'!D20/(1+0.09)^0.5 + 'DCF Valuation'!E20/(1+0.09)^1.5 + 'DCF Valuation'!F20/(1+0.09)^2.5+(((50166222*(1+0.09)^1)*0.076*(1-0.19)+(50166222*(1+0.09)^1)*0.015+(50166222*(1+0.09)^1)*-0.051+(50166222*(1+0.09)^1)*-0.009)/(1+0.09)^3.5) + (((50166222*(1+0.09)^2)*0.076*(1-0.19)+(50166222*(1+0.09)^2)*0.015+(50166222*(1+0.09)^2)*-0.051+(50166222*(1+0.09)^2)*-0.009)/(1+0.09)^4.5) + (((50166222*(1+0.09)^3)*0.076*(1-0.19)+(50166222*(1+0.09)^3)*0.015+(50166222*(1+0.09)^3)*-0.051+(50166222*(1+0.09)^3)*-0.009)/(1+0.09)^5.5) + (((50166222*(1+0.09)^4)*0.076*(1-0.19)+(50166222*(1+0.09)^4)*0.015+(50166222*(1+0.09)^4)*-0.051+(50166222*(1+0.09)^4)*-0.009)/(1+0.09)^6.5)+((50166222*(1+0.09)^4)*0.076*(1-0.19)+(50166222*(1+0.09)^4)*0.015+(50166222*(1+0.09)^4)*-0.051+(50166222*(1+0.09)^4)*-0.009)*(1+0.03)/(0.09-0.03)/(1+0.09)^7-32464-17720)/98040*1000</f>
        <v>147481.57645619984</v>
      </c>
      <c r="I34" s="74">
        <f>('DCF Valuation'!D20/(1+0.09)^0.5 + 'DCF Valuation'!E20/(1+0.09)^1.5 + 'DCF Valuation'!F20/(1+0.09)^2.5+(((50166222*(1+0.09)^1)*0.08*(1-0.19)+(50166222*(1+0.09)^1)*0.015+(50166222*(1+0.09)^1)*-0.051+(50166222*(1+0.09)^1)*-0.009)/(1+0.09)^3.5) + (((50166222*(1+0.09)^2)*0.08*(1-0.19)+(50166222*(1+0.09)^2)*0.015+(50166222*(1+0.09)^2)*-0.051+(50166222*(1+0.09)^2)*-0.009)/(1+0.09)^4.5) + (((50166222*(1+0.09)^3)*0.08*(1-0.19)+(50166222*(1+0.09)^3)*0.015+(50166222*(1+0.09)^3)*-0.051+(50166222*(1+0.09)^3)*-0.009)/(1+0.09)^5.5) + (((50166222*(1+0.09)^4)*0.08*(1-0.19)+(50166222*(1+0.09)^4)*0.015+(50166222*(1+0.09)^4)*-0.051+(50166222*(1+0.09)^4)*-0.009)/(1+0.09)^6.5)+((50166222*(1+0.09)^4)*0.08*(1-0.19)+(50166222*(1+0.09)^4)*0.015+(50166222*(1+0.09)^4)*-0.051+(50166222*(1+0.09)^4)*-0.009)*(1+0.03)/(0.09-0.03)/(1+0.09)^7-32464-17720)/98040*1000</f>
        <v>174804.35020375668</v>
      </c>
    </row>
    <row r="35" spans="2:9" ht="15" customHeight="1" x14ac:dyDescent="0.25">
      <c r="B35" s="72">
        <v>9.5000000000000001E-2</v>
      </c>
      <c r="C35" s="73"/>
      <c r="D35" s="74">
        <f>('DCF Valuation'!D20/(1+0.095)^0.5 + 'DCF Valuation'!E20/(1+0.095)^1.5 + 'DCF Valuation'!F20/(1+0.095)^2.5+(((50166222*(1+0.09)^1)*0.06*(1-0.19)+(50166222*(1+0.09)^1)*0.015+(50166222*(1+0.09)^1)*-0.051+(50166222*(1+0.09)^1)*-0.009)/(1+0.095)^3.5) + (((50166222*(1+0.09)^2)*0.06*(1-0.19)+(50166222*(1+0.09)^2)*0.015+(50166222*(1+0.09)^2)*-0.051+(50166222*(1+0.09)^2)*-0.009)/(1+0.095)^4.5) + (((50166222*(1+0.09)^3)*0.06*(1-0.19)+(50166222*(1+0.09)^3)*0.015+(50166222*(1+0.09)^3)*-0.051+(50166222*(1+0.09)^3)*-0.009)/(1+0.095)^5.5) + (((50166222*(1+0.09)^4)*0.06*(1-0.19)+(50166222*(1+0.09)^4)*0.015+(50166222*(1+0.09)^4)*-0.051+(50166222*(1+0.09)^4)*-0.009)/(1+0.095)^6.5)+((50166222*(1+0.09)^4)*0.06*(1-0.19)+(50166222*(1+0.09)^4)*0.015+(50166222*(1+0.09)^4)*-0.051+(50166222*(1+0.09)^4)*-0.009)*(1+0.03)/(0.095-0.03)/(1+0.095)^7-32464-17720)/98040*1000</f>
        <v>35373.90494749404</v>
      </c>
      <c r="E35" s="74">
        <f>('DCF Valuation'!D20/(1+0.095)^0.5 + 'DCF Valuation'!E20/(1+0.095)^1.5 + 'DCF Valuation'!F20/(1+0.095)^2.5+(((50166222*(1+0.09)^1)*0.064*(1-0.19)+(50166222*(1+0.09)^1)*0.015+(50166222*(1+0.09)^1)*-0.051+(50166222*(1+0.09)^1)*-0.009)/(1+0.095)^3.5) + (((50166222*(1+0.09)^2)*0.064*(1-0.19)+(50166222*(1+0.09)^2)*0.015+(50166222*(1+0.09)^2)*-0.051+(50166222*(1+0.09)^2)*-0.009)/(1+0.095)^4.5) + (((50166222*(1+0.09)^3)*0.064*(1-0.19)+(50166222*(1+0.09)^3)*0.015+(50166222*(1+0.09)^3)*-0.051+(50166222*(1+0.09)^3)*-0.009)/(1+0.095)^5.5) + (((50166222*(1+0.09)^4)*0.064*(1-0.19)+(50166222*(1+0.09)^4)*0.015+(50166222*(1+0.09)^4)*-0.051+(50166222*(1+0.09)^4)*-0.009)/(1+0.095)^6.5)+((50166222*(1+0.09)^4)*0.064*(1-0.19)+(50166222*(1+0.09)^4)*0.015+(50166222*(1+0.09)^4)*-0.051+(50166222*(1+0.09)^4)*-0.009)*(1+0.03)/(0.095-0.03)/(1+0.095)^7-32464-17720)/98040*1000</f>
        <v>60245.695324639433</v>
      </c>
      <c r="F35" s="74">
        <f>('DCF Valuation'!D20/(1+0.095)^0.5 + 'DCF Valuation'!E20/(1+0.095)^1.5 + 'DCF Valuation'!F20/(1+0.095)^2.5+(((50166222*(1+0.09)^1)*0.068*(1-0.19)+(50166222*(1+0.09)^1)*0.015+(50166222*(1+0.09)^1)*-0.051+(50166222*(1+0.09)^1)*-0.009)/(1+0.095)^3.5) + (((50166222*(1+0.09)^2)*0.068*(1-0.19)+(50166222*(1+0.09)^2)*0.015+(50166222*(1+0.09)^2)*-0.051+(50166222*(1+0.09)^2)*-0.009)/(1+0.095)^4.5) + (((50166222*(1+0.09)^3)*0.068*(1-0.19)+(50166222*(1+0.09)^3)*0.015+(50166222*(1+0.09)^3)*-0.051+(50166222*(1+0.09)^3)*-0.009)/(1+0.095)^5.5) + (((50166222*(1+0.09)^4)*0.068*(1-0.19)+(50166222*(1+0.09)^4)*0.015+(50166222*(1+0.09)^4)*-0.051+(50166222*(1+0.09)^4)*-0.009)/(1+0.095)^6.5)+((50166222*(1+0.09)^4)*0.068*(1-0.19)+(50166222*(1+0.09)^4)*0.015+(50166222*(1+0.09)^4)*-0.051+(50166222*(1+0.09)^4)*-0.009)*(1+0.03)/(0.095-0.03)/(1+0.095)^7-32464-17720)/98040*1000</f>
        <v>85117.485701784739</v>
      </c>
      <c r="G35" s="74">
        <f>('DCF Valuation'!D20/(1+0.095)^0.5 + 'DCF Valuation'!E20/(1+0.095)^1.5 + 'DCF Valuation'!F20/(1+0.095)^2.5+(((50166222*(1+0.09)^1)*0.072*(1-0.19)+(50166222*(1+0.09)^1)*0.015+(50166222*(1+0.09)^1)*-0.051+(50166222*(1+0.09)^1)*-0.009)/(1+0.095)^3.5) + (((50166222*(1+0.09)^2)*0.072*(1-0.19)+(50166222*(1+0.09)^2)*0.015+(50166222*(1+0.09)^2)*-0.051+(50166222*(1+0.09)^2)*-0.009)/(1+0.095)^4.5) + (((50166222*(1+0.09)^3)*0.072*(1-0.19)+(50166222*(1+0.09)^3)*0.015+(50166222*(1+0.09)^3)*-0.051+(50166222*(1+0.09)^3)*-0.009)/(1+0.095)^5.5) + (((50166222*(1+0.09)^4)*0.072*(1-0.19)+(50166222*(1+0.09)^4)*0.015+(50166222*(1+0.09)^4)*-0.051+(50166222*(1+0.09)^4)*-0.009)/(1+0.095)^6.5)+((50166222*(1+0.09)^4)*0.072*(1-0.19)+(50166222*(1+0.09)^4)*0.015+(50166222*(1+0.09)^4)*-0.051+(50166222*(1+0.09)^4)*-0.009)*(1+0.03)/(0.095-0.03)/(1+0.095)^7-32464-17720)/98040*1000</f>
        <v>109989.27607892996</v>
      </c>
      <c r="H35" s="74">
        <f>('DCF Valuation'!D20/(1+0.095)^0.5 + 'DCF Valuation'!E20/(1+0.095)^1.5 + 'DCF Valuation'!F20/(1+0.095)^2.5+(((50166222*(1+0.09)^1)*0.076*(1-0.19)+(50166222*(1+0.09)^1)*0.015+(50166222*(1+0.09)^1)*-0.051+(50166222*(1+0.09)^1)*-0.009)/(1+0.095)^3.5) + (((50166222*(1+0.09)^2)*0.076*(1-0.19)+(50166222*(1+0.09)^2)*0.015+(50166222*(1+0.09)^2)*-0.051+(50166222*(1+0.09)^2)*-0.009)/(1+0.095)^4.5) + (((50166222*(1+0.09)^3)*0.076*(1-0.19)+(50166222*(1+0.09)^3)*0.015+(50166222*(1+0.09)^3)*-0.051+(50166222*(1+0.09)^3)*-0.009)/(1+0.095)^5.5) + (((50166222*(1+0.09)^4)*0.076*(1-0.19)+(50166222*(1+0.09)^4)*0.015+(50166222*(1+0.09)^4)*-0.051+(50166222*(1+0.09)^4)*-0.009)/(1+0.095)^6.5)+((50166222*(1+0.09)^4)*0.076*(1-0.19)+(50166222*(1+0.09)^4)*0.015+(50166222*(1+0.09)^4)*-0.051+(50166222*(1+0.09)^4)*-0.009)*(1+0.03)/(0.095-0.03)/(1+0.095)^7-32464-17720)/98040*1000</f>
        <v>134861.06645607526</v>
      </c>
      <c r="I35" s="74">
        <f>('DCF Valuation'!D20/(1+0.095)^0.5 + 'DCF Valuation'!E20/(1+0.095)^1.5 + 'DCF Valuation'!F20/(1+0.095)^2.5+(((50166222*(1+0.09)^1)*0.08*(1-0.19)+(50166222*(1+0.09)^1)*0.015+(50166222*(1+0.09)^1)*-0.051+(50166222*(1+0.09)^1)*-0.009)/(1+0.095)^3.5) + (((50166222*(1+0.09)^2)*0.08*(1-0.19)+(50166222*(1+0.09)^2)*0.015+(50166222*(1+0.09)^2)*-0.051+(50166222*(1+0.09)^2)*-0.009)/(1+0.095)^4.5) + (((50166222*(1+0.09)^3)*0.08*(1-0.19)+(50166222*(1+0.09)^3)*0.015+(50166222*(1+0.09)^3)*-0.051+(50166222*(1+0.09)^3)*-0.009)/(1+0.095)^5.5) + (((50166222*(1+0.09)^4)*0.08*(1-0.19)+(50166222*(1+0.09)^4)*0.015+(50166222*(1+0.09)^4)*-0.051+(50166222*(1+0.09)^4)*-0.009)/(1+0.095)^6.5)+((50166222*(1+0.09)^4)*0.08*(1-0.19)+(50166222*(1+0.09)^4)*0.015+(50166222*(1+0.09)^4)*-0.051+(50166222*(1+0.09)^4)*-0.009)*(1+0.03)/(0.095-0.03)/(1+0.095)^7-32464-17720)/98040*1000</f>
        <v>159732.85683322058</v>
      </c>
    </row>
    <row r="36" spans="2:9" ht="15" customHeight="1" x14ac:dyDescent="0.25">
      <c r="B36" s="17" t="s">
        <v>136</v>
      </c>
    </row>
  </sheetData>
  <mergeCells count="6">
    <mergeCell ref="B29:C29"/>
    <mergeCell ref="B7:C7"/>
    <mergeCell ref="B6:J6"/>
    <mergeCell ref="B17:J17"/>
    <mergeCell ref="B28:J28"/>
    <mergeCell ref="B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4"/>
  <sheetViews>
    <sheetView showGridLines="0" topLeftCell="A18" zoomScale="94" zoomScaleNormal="100" workbookViewId="0">
      <selection activeCell="E4" sqref="E4"/>
    </sheetView>
  </sheetViews>
  <sheetFormatPr defaultColWidth="8.7109375" defaultRowHeight="15" x14ac:dyDescent="0.25"/>
  <cols>
    <col min="1" max="1" width="2" style="1" customWidth="1"/>
    <col min="2" max="2" width="28" style="1" customWidth="1"/>
    <col min="3" max="3" width="20.140625" style="1" customWidth="1"/>
    <col min="4" max="4" width="14" style="1" customWidth="1"/>
    <col min="5" max="9" width="12" style="1" customWidth="1"/>
    <col min="10" max="10" width="14" style="1" customWidth="1"/>
    <col min="11" max="11" width="18" style="1" customWidth="1"/>
    <col min="12" max="12" width="14" customWidth="1"/>
  </cols>
  <sheetData>
    <row r="2" spans="2:12" ht="4.5" customHeight="1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2:12" ht="19.5" customHeight="1" x14ac:dyDescent="0.25">
      <c r="B3" s="12" t="s">
        <v>137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2:12" ht="13.5" customHeight="1" x14ac:dyDescent="0.25">
      <c r="B4" s="5" t="s">
        <v>138</v>
      </c>
      <c r="C4" s="2"/>
      <c r="D4" s="2"/>
      <c r="E4" s="2"/>
      <c r="F4" s="2"/>
      <c r="G4" s="2"/>
      <c r="H4" s="2"/>
      <c r="I4" s="2"/>
      <c r="J4" s="2"/>
      <c r="K4" s="2"/>
      <c r="L4" s="2"/>
    </row>
    <row r="6" spans="2:12" ht="40.5" customHeight="1" x14ac:dyDescent="0.25">
      <c r="B6" s="107" t="s">
        <v>139</v>
      </c>
      <c r="C6" s="107"/>
      <c r="D6" s="87" t="s">
        <v>140</v>
      </c>
      <c r="E6" s="87" t="s">
        <v>141</v>
      </c>
      <c r="F6" s="87" t="s">
        <v>142</v>
      </c>
      <c r="G6" s="87" t="s">
        <v>143</v>
      </c>
      <c r="H6" s="87" t="s">
        <v>144</v>
      </c>
      <c r="I6" s="87" t="s">
        <v>145</v>
      </c>
      <c r="J6" s="87" t="s">
        <v>146</v>
      </c>
      <c r="K6" s="87" t="s">
        <v>147</v>
      </c>
      <c r="L6" s="87" t="s">
        <v>81</v>
      </c>
    </row>
    <row r="7" spans="2:12" ht="21.75" customHeight="1" x14ac:dyDescent="0.25">
      <c r="B7" s="104" t="s">
        <v>148</v>
      </c>
      <c r="C7" s="104"/>
      <c r="D7" s="78" t="s">
        <v>149</v>
      </c>
      <c r="E7" s="79">
        <v>47200</v>
      </c>
      <c r="F7" s="79">
        <v>54800</v>
      </c>
      <c r="G7" s="80">
        <v>12.1</v>
      </c>
      <c r="H7" s="80">
        <v>11.4</v>
      </c>
      <c r="I7" s="80">
        <v>15.2</v>
      </c>
      <c r="J7" s="80">
        <v>20.100000000000001</v>
      </c>
      <c r="K7" s="81">
        <v>0.112</v>
      </c>
      <c r="L7" s="78" t="s">
        <v>150</v>
      </c>
    </row>
    <row r="8" spans="2:12" ht="21.75" customHeight="1" x14ac:dyDescent="0.25">
      <c r="B8" s="103" t="s">
        <v>151</v>
      </c>
      <c r="C8" s="103"/>
      <c r="D8" s="82" t="s">
        <v>152</v>
      </c>
      <c r="E8" s="83">
        <v>1800</v>
      </c>
      <c r="F8" s="83">
        <v>3100</v>
      </c>
      <c r="G8" s="84">
        <v>6.8</v>
      </c>
      <c r="H8" s="84">
        <v>6.5</v>
      </c>
      <c r="I8" s="84">
        <v>9.1</v>
      </c>
      <c r="J8" s="84">
        <v>12.4</v>
      </c>
      <c r="K8" s="85">
        <v>4.1000000000000002E-2</v>
      </c>
      <c r="L8" s="82" t="s">
        <v>153</v>
      </c>
    </row>
    <row r="9" spans="2:12" ht="21.75" customHeight="1" x14ac:dyDescent="0.25">
      <c r="B9" s="104" t="s">
        <v>154</v>
      </c>
      <c r="C9" s="104"/>
      <c r="D9" s="78" t="s">
        <v>155</v>
      </c>
      <c r="E9" s="79">
        <v>10200</v>
      </c>
      <c r="F9" s="79">
        <v>22100</v>
      </c>
      <c r="G9" s="80">
        <v>5.9</v>
      </c>
      <c r="H9" s="80">
        <v>5.7</v>
      </c>
      <c r="I9" s="80">
        <v>8.9</v>
      </c>
      <c r="J9" s="80">
        <v>11.3</v>
      </c>
      <c r="K9" s="81">
        <v>3.7999999999999999E-2</v>
      </c>
      <c r="L9" s="78" t="s">
        <v>156</v>
      </c>
    </row>
    <row r="10" spans="2:12" ht="21.75" customHeight="1" x14ac:dyDescent="0.25">
      <c r="B10" s="103" t="s">
        <v>157</v>
      </c>
      <c r="C10" s="103"/>
      <c r="D10" s="82" t="s">
        <v>158</v>
      </c>
      <c r="E10" s="83">
        <v>26400</v>
      </c>
      <c r="F10" s="83">
        <v>33500</v>
      </c>
      <c r="G10" s="84">
        <v>6.7</v>
      </c>
      <c r="H10" s="84">
        <v>6.4</v>
      </c>
      <c r="I10" s="84">
        <v>9.8000000000000007</v>
      </c>
      <c r="J10" s="84">
        <v>14.2</v>
      </c>
      <c r="K10" s="85">
        <v>4.4999999999999998E-2</v>
      </c>
      <c r="L10" s="82" t="s">
        <v>159</v>
      </c>
    </row>
    <row r="11" spans="2:12" ht="21.75" customHeight="1" x14ac:dyDescent="0.25">
      <c r="B11" s="104" t="s">
        <v>160</v>
      </c>
      <c r="C11" s="104"/>
      <c r="D11" s="78" t="s">
        <v>161</v>
      </c>
      <c r="E11" s="79">
        <v>12800</v>
      </c>
      <c r="F11" s="79">
        <v>13200</v>
      </c>
      <c r="G11" s="80">
        <v>16.3</v>
      </c>
      <c r="H11" s="80">
        <v>14.8</v>
      </c>
      <c r="I11" s="80">
        <v>19.2</v>
      </c>
      <c r="J11" s="80">
        <v>22.1</v>
      </c>
      <c r="K11" s="81">
        <v>0.42299999999999999</v>
      </c>
      <c r="L11" s="78" t="s">
        <v>162</v>
      </c>
    </row>
    <row r="12" spans="2:12" ht="21.75" customHeight="1" x14ac:dyDescent="0.25">
      <c r="B12" s="103" t="s">
        <v>163</v>
      </c>
      <c r="C12" s="103"/>
      <c r="D12" s="82" t="s">
        <v>164</v>
      </c>
      <c r="E12" s="82" t="s">
        <v>165</v>
      </c>
      <c r="F12" s="82" t="s">
        <v>165</v>
      </c>
      <c r="G12" s="82" t="s">
        <v>165</v>
      </c>
      <c r="H12" s="82" t="s">
        <v>165</v>
      </c>
      <c r="I12" s="82" t="s">
        <v>165</v>
      </c>
      <c r="J12" s="82" t="s">
        <v>165</v>
      </c>
      <c r="K12" s="82" t="s">
        <v>165</v>
      </c>
      <c r="L12" s="82" t="s">
        <v>166</v>
      </c>
    </row>
    <row r="13" spans="2:12" ht="21.75" customHeight="1" x14ac:dyDescent="0.25">
      <c r="B13" s="104" t="s">
        <v>167</v>
      </c>
      <c r="C13" s="104"/>
      <c r="D13" s="78" t="s">
        <v>168</v>
      </c>
      <c r="E13" s="78" t="s">
        <v>165</v>
      </c>
      <c r="F13" s="78" t="s">
        <v>165</v>
      </c>
      <c r="G13" s="78" t="s">
        <v>165</v>
      </c>
      <c r="H13" s="78" t="s">
        <v>165</v>
      </c>
      <c r="I13" s="78" t="s">
        <v>165</v>
      </c>
      <c r="J13" s="78" t="s">
        <v>165</v>
      </c>
      <c r="K13" s="78" t="s">
        <v>165</v>
      </c>
      <c r="L13" s="78" t="s">
        <v>169</v>
      </c>
    </row>
    <row r="15" spans="2:12" ht="15" customHeight="1" x14ac:dyDescent="0.25">
      <c r="B15" s="105" t="s">
        <v>170</v>
      </c>
      <c r="C15" s="105"/>
      <c r="D15" s="105"/>
      <c r="E15" s="105"/>
      <c r="F15" s="105"/>
      <c r="G15" s="105"/>
      <c r="H15" s="105"/>
      <c r="I15" s="105"/>
      <c r="J15" s="105"/>
      <c r="K15" s="105"/>
      <c r="L15" s="105"/>
    </row>
    <row r="16" spans="2:12" ht="15" customHeight="1" x14ac:dyDescent="0.25">
      <c r="B16" s="6" t="s">
        <v>171</v>
      </c>
      <c r="D16" s="36">
        <v>9200</v>
      </c>
      <c r="E16" s="36">
        <v>18600</v>
      </c>
      <c r="F16" s="37">
        <v>6.75</v>
      </c>
      <c r="G16" s="37">
        <v>6.45</v>
      </c>
      <c r="H16" s="37">
        <v>9.4499999999999993</v>
      </c>
      <c r="I16" s="37">
        <v>14.2</v>
      </c>
      <c r="J16" s="38">
        <v>7.8E-2</v>
      </c>
    </row>
    <row r="17" spans="2:12" ht="15" customHeight="1" x14ac:dyDescent="0.25">
      <c r="B17" s="6" t="s">
        <v>172</v>
      </c>
      <c r="D17" s="36">
        <v>9650</v>
      </c>
      <c r="E17" s="36">
        <v>19200</v>
      </c>
      <c r="F17" s="37">
        <v>9.56</v>
      </c>
      <c r="G17" s="37">
        <v>8.9700000000000006</v>
      </c>
      <c r="H17" s="37">
        <v>12.44</v>
      </c>
      <c r="I17" s="37">
        <v>16.02</v>
      </c>
      <c r="J17" s="38">
        <v>0.13200000000000001</v>
      </c>
    </row>
    <row r="18" spans="2:12" ht="15" customHeight="1" x14ac:dyDescent="0.25">
      <c r="B18" s="6" t="s">
        <v>173</v>
      </c>
      <c r="D18" s="36">
        <v>1800</v>
      </c>
      <c r="E18" s="36">
        <v>3100</v>
      </c>
      <c r="F18" s="37">
        <v>5.9</v>
      </c>
      <c r="G18" s="37">
        <v>5.7</v>
      </c>
      <c r="H18" s="37">
        <v>8.9</v>
      </c>
      <c r="I18" s="37">
        <v>11.3</v>
      </c>
      <c r="J18" s="38">
        <v>3.7999999999999999E-2</v>
      </c>
    </row>
    <row r="19" spans="2:12" ht="15" customHeight="1" x14ac:dyDescent="0.25">
      <c r="B19" s="6" t="s">
        <v>174</v>
      </c>
      <c r="D19" s="36">
        <v>47200</v>
      </c>
      <c r="E19" s="36">
        <v>54800</v>
      </c>
      <c r="F19" s="37">
        <v>16.3</v>
      </c>
      <c r="G19" s="37">
        <v>14.8</v>
      </c>
      <c r="H19" s="37">
        <v>19.2</v>
      </c>
      <c r="I19" s="37">
        <v>22.1</v>
      </c>
      <c r="J19" s="38">
        <v>0.42299999999999999</v>
      </c>
    </row>
    <row r="21" spans="2:12" ht="15" customHeight="1" x14ac:dyDescent="0.25">
      <c r="B21" s="69" t="s">
        <v>175</v>
      </c>
      <c r="C21" s="70"/>
      <c r="D21" s="70"/>
      <c r="E21" s="70"/>
      <c r="F21" s="70"/>
      <c r="G21" s="70"/>
      <c r="H21" s="70"/>
      <c r="I21" s="70"/>
      <c r="J21" s="70"/>
      <c r="K21" s="70"/>
      <c r="L21" s="86"/>
    </row>
    <row r="22" spans="2:12" ht="15" customHeight="1" x14ac:dyDescent="0.25">
      <c r="B22" s="7" t="s">
        <v>176</v>
      </c>
      <c r="D22" s="21">
        <v>2546313</v>
      </c>
      <c r="E22" s="17" t="s">
        <v>177</v>
      </c>
    </row>
    <row r="23" spans="2:12" ht="15" customHeight="1" x14ac:dyDescent="0.25">
      <c r="B23" s="7" t="s">
        <v>178</v>
      </c>
      <c r="D23" s="21">
        <v>2041282</v>
      </c>
      <c r="E23" s="17" t="s">
        <v>177</v>
      </c>
    </row>
    <row r="24" spans="2:12" ht="15" customHeight="1" x14ac:dyDescent="0.25">
      <c r="B24" s="7" t="s">
        <v>179</v>
      </c>
      <c r="D24" s="21">
        <v>1558797</v>
      </c>
      <c r="E24" s="17" t="s">
        <v>177</v>
      </c>
    </row>
    <row r="25" spans="2:12" ht="15" customHeight="1" x14ac:dyDescent="0.25">
      <c r="B25" s="7" t="s">
        <v>180</v>
      </c>
      <c r="D25" s="39">
        <v>6.45</v>
      </c>
    </row>
    <row r="26" spans="2:12" ht="15" customHeight="1" x14ac:dyDescent="0.25">
      <c r="B26" s="7" t="s">
        <v>181</v>
      </c>
      <c r="D26" s="39">
        <v>9.4499999999999993</v>
      </c>
    </row>
    <row r="27" spans="2:12" ht="15" customHeight="1" x14ac:dyDescent="0.25">
      <c r="B27" s="7" t="s">
        <v>182</v>
      </c>
      <c r="D27" s="39">
        <v>14.2</v>
      </c>
    </row>
    <row r="28" spans="2:12" ht="15" customHeight="1" x14ac:dyDescent="0.25">
      <c r="B28" s="9" t="s">
        <v>183</v>
      </c>
      <c r="D28" s="25">
        <f>D22*D25</f>
        <v>16423718.85</v>
      </c>
    </row>
    <row r="29" spans="2:12" ht="15" customHeight="1" x14ac:dyDescent="0.25">
      <c r="B29" s="9" t="s">
        <v>184</v>
      </c>
      <c r="D29" s="25">
        <f>D23*D26</f>
        <v>19290114.899999999</v>
      </c>
    </row>
    <row r="30" spans="2:12" ht="15" customHeight="1" x14ac:dyDescent="0.25">
      <c r="B30" s="106" t="s">
        <v>185</v>
      </c>
      <c r="C30" s="106"/>
      <c r="D30" s="40">
        <f>(D28-32464-17720)/98040*1000</f>
        <v>167008.71940024479</v>
      </c>
    </row>
    <row r="31" spans="2:12" ht="15" customHeight="1" x14ac:dyDescent="0.25">
      <c r="B31" s="106" t="s">
        <v>186</v>
      </c>
      <c r="C31" s="106"/>
      <c r="D31" s="40">
        <f>(D29-32464-17720)/98040*1000</f>
        <v>196245.72521419826</v>
      </c>
    </row>
    <row r="32" spans="2:12" ht="15" customHeight="1" x14ac:dyDescent="0.25">
      <c r="B32" s="106" t="s">
        <v>187</v>
      </c>
      <c r="C32" s="106"/>
      <c r="D32" s="40">
        <f>D24*D27*1000/98040</f>
        <v>225774.35128518971</v>
      </c>
    </row>
    <row r="34" spans="2:2" ht="15" customHeight="1" x14ac:dyDescent="0.25">
      <c r="B34" s="41" t="s">
        <v>188</v>
      </c>
    </row>
  </sheetData>
  <mergeCells count="12">
    <mergeCell ref="B32:C32"/>
    <mergeCell ref="B6:C6"/>
    <mergeCell ref="B7:C7"/>
    <mergeCell ref="B8:C8"/>
    <mergeCell ref="B9:C9"/>
    <mergeCell ref="B10:C10"/>
    <mergeCell ref="B11:C11"/>
    <mergeCell ref="B12:C12"/>
    <mergeCell ref="B13:C13"/>
    <mergeCell ref="B15:L15"/>
    <mergeCell ref="B30:C30"/>
    <mergeCell ref="B31:C3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8"/>
  <sheetViews>
    <sheetView showGridLines="0" zoomScaleNormal="100" workbookViewId="0">
      <selection activeCell="E16" sqref="E16"/>
    </sheetView>
  </sheetViews>
  <sheetFormatPr defaultColWidth="8.7109375" defaultRowHeight="15" x14ac:dyDescent="0.25"/>
  <cols>
    <col min="1" max="1" width="2" style="1" customWidth="1"/>
    <col min="2" max="2" width="38" style="1" customWidth="1"/>
    <col min="3" max="6" width="13" style="1" customWidth="1"/>
    <col min="7" max="7" width="16" style="1" customWidth="1"/>
    <col min="8" max="8" width="10" style="1" customWidth="1"/>
    <col min="9" max="9" width="22" style="1" customWidth="1"/>
  </cols>
  <sheetData>
    <row r="2" spans="2:10" ht="4.5" customHeight="1" x14ac:dyDescent="0.25">
      <c r="B2" s="2"/>
      <c r="C2" s="2"/>
      <c r="D2" s="2"/>
      <c r="E2" s="2"/>
      <c r="F2" s="2"/>
      <c r="G2" s="2"/>
      <c r="H2" s="2"/>
      <c r="I2" s="2"/>
      <c r="J2" s="2"/>
    </row>
    <row r="3" spans="2:10" ht="19.5" customHeight="1" x14ac:dyDescent="0.25">
      <c r="B3" s="12" t="s">
        <v>189</v>
      </c>
      <c r="C3" s="2"/>
      <c r="D3" s="2"/>
      <c r="E3" s="2"/>
      <c r="F3" s="2"/>
      <c r="G3" s="2"/>
      <c r="H3" s="2"/>
      <c r="I3" s="2"/>
      <c r="J3" s="2"/>
    </row>
    <row r="4" spans="2:10" ht="13.5" customHeight="1" x14ac:dyDescent="0.25">
      <c r="B4" s="5" t="s">
        <v>190</v>
      </c>
      <c r="C4" s="2"/>
      <c r="D4" s="2"/>
      <c r="E4" s="2"/>
      <c r="F4" s="2"/>
      <c r="G4" s="2"/>
      <c r="H4" s="2"/>
      <c r="I4" s="2"/>
      <c r="J4" s="2"/>
    </row>
    <row r="6" spans="2:10" ht="31.5" customHeight="1" x14ac:dyDescent="0.25">
      <c r="B6" s="92" t="s">
        <v>191</v>
      </c>
      <c r="C6" s="92"/>
      <c r="D6" s="61" t="s">
        <v>192</v>
      </c>
      <c r="E6" s="61" t="s">
        <v>193</v>
      </c>
      <c r="F6" s="61" t="s">
        <v>194</v>
      </c>
      <c r="G6" s="61" t="s">
        <v>195</v>
      </c>
      <c r="H6" s="61" t="s">
        <v>196</v>
      </c>
      <c r="I6" s="61" t="s">
        <v>81</v>
      </c>
      <c r="J6" s="86"/>
    </row>
    <row r="7" spans="2:10" ht="21.75" customHeight="1" x14ac:dyDescent="0.25">
      <c r="B7" s="109" t="s">
        <v>197</v>
      </c>
      <c r="C7" s="109"/>
      <c r="D7" s="42">
        <f>'DCF Valuation'!D44*0.82</f>
        <v>106041.58195214423</v>
      </c>
      <c r="E7" s="43">
        <f>'DCF Valuation'!D44</f>
        <v>129319.0023806637</v>
      </c>
      <c r="F7" s="42">
        <f>'DCF Valuation'!D44*1.2</f>
        <v>155182.80285679645</v>
      </c>
      <c r="G7" s="44" t="s">
        <v>198</v>
      </c>
      <c r="H7" s="45" t="s">
        <v>199</v>
      </c>
      <c r="I7" s="46" t="s">
        <v>200</v>
      </c>
    </row>
    <row r="8" spans="2:10" ht="21.75" customHeight="1" x14ac:dyDescent="0.25">
      <c r="B8" s="94" t="s">
        <v>201</v>
      </c>
      <c r="C8" s="94"/>
      <c r="D8" s="47">
        <f>(2546313*7.5-32464-17720)/98040*1000</f>
        <v>194279.5134638923</v>
      </c>
      <c r="E8" s="48">
        <f>Comps!D30</f>
        <v>167008.71940024479</v>
      </c>
      <c r="F8" s="47">
        <f>(2546313*11-32464-17720)/98040*1000</f>
        <v>285182.16034271731</v>
      </c>
      <c r="G8" s="49" t="s">
        <v>198</v>
      </c>
      <c r="H8" s="50" t="s">
        <v>202</v>
      </c>
      <c r="I8" s="51" t="s">
        <v>203</v>
      </c>
    </row>
    <row r="9" spans="2:10" ht="21.75" customHeight="1" x14ac:dyDescent="0.25">
      <c r="B9" s="109" t="s">
        <v>204</v>
      </c>
      <c r="C9" s="109"/>
      <c r="D9" s="42">
        <f>(2041282*9-32464-17720)/98040*1000</f>
        <v>186876.31578947368</v>
      </c>
      <c r="E9" s="43">
        <f>Comps!D31</f>
        <v>196245.72521419826</v>
      </c>
      <c r="F9" s="42">
        <f>(2041282*16-32464-17720)/98040*1000</f>
        <v>332622.68461852305</v>
      </c>
      <c r="G9" s="44" t="s">
        <v>198</v>
      </c>
      <c r="H9" s="45" t="s">
        <v>205</v>
      </c>
      <c r="I9" s="46" t="s">
        <v>206</v>
      </c>
    </row>
    <row r="10" spans="2:10" ht="21.75" customHeight="1" x14ac:dyDescent="0.25">
      <c r="B10" s="110" t="s">
        <v>207</v>
      </c>
      <c r="C10" s="110"/>
      <c r="D10" s="52">
        <f>1558797*14/98040*1000</f>
        <v>222594.43084455325</v>
      </c>
      <c r="E10" s="53">
        <f>Comps!D32</f>
        <v>225774.35128518971</v>
      </c>
      <c r="F10" s="52">
        <f>1558797*22/98040*1000</f>
        <v>349791.24847001227</v>
      </c>
      <c r="G10" s="54" t="s">
        <v>198</v>
      </c>
      <c r="H10" s="55" t="s">
        <v>208</v>
      </c>
      <c r="I10" s="56" t="s">
        <v>209</v>
      </c>
    </row>
    <row r="12" spans="2:10" ht="19.5" customHeight="1" x14ac:dyDescent="0.25">
      <c r="B12" s="108" t="s">
        <v>210</v>
      </c>
      <c r="C12" s="108"/>
      <c r="D12" s="108"/>
      <c r="E12" s="108"/>
      <c r="F12" s="108"/>
      <c r="G12" s="108"/>
      <c r="H12" s="108"/>
      <c r="I12" s="108"/>
      <c r="J12" s="108"/>
    </row>
    <row r="13" spans="2:10" ht="21.75" customHeight="1" x14ac:dyDescent="0.25">
      <c r="B13" s="96" t="s">
        <v>211</v>
      </c>
      <c r="C13" s="96"/>
      <c r="D13" s="57">
        <f>D7*0.5+D8*0.25+D9*0.15+D10*0.1</f>
        <v>151881.55979492157</v>
      </c>
    </row>
    <row r="14" spans="2:10" ht="21.75" customHeight="1" x14ac:dyDescent="0.25">
      <c r="B14" s="96" t="s">
        <v>212</v>
      </c>
      <c r="C14" s="96"/>
      <c r="D14" s="57">
        <f>E7*0.5+E8*0.25+E9*0.15+E10*0.1</f>
        <v>158425.97495104175</v>
      </c>
    </row>
    <row r="15" spans="2:10" ht="21.75" customHeight="1" x14ac:dyDescent="0.25">
      <c r="B15" s="96" t="s">
        <v>213</v>
      </c>
      <c r="C15" s="96"/>
      <c r="D15" s="57">
        <f>F7*0.5+F8*0.25+F9*0.15+F10*0.1</f>
        <v>233759.4690538572</v>
      </c>
    </row>
    <row r="17" spans="2:2" ht="15" customHeight="1" x14ac:dyDescent="0.25">
      <c r="B17" s="17" t="s">
        <v>214</v>
      </c>
    </row>
    <row r="18" spans="2:2" ht="15" customHeight="1" x14ac:dyDescent="0.25">
      <c r="B18" s="17" t="s">
        <v>215</v>
      </c>
    </row>
  </sheetData>
  <mergeCells count="9">
    <mergeCell ref="B13:C13"/>
    <mergeCell ref="B14:C14"/>
    <mergeCell ref="B15:C15"/>
    <mergeCell ref="B12:J12"/>
    <mergeCell ref="B6:C6"/>
    <mergeCell ref="B7:C7"/>
    <mergeCell ref="B8:C8"/>
    <mergeCell ref="B9:C9"/>
    <mergeCell ref="B10:C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WACC Build-Up</vt:lpstr>
      <vt:lpstr>DCF Valuation</vt:lpstr>
      <vt:lpstr>Sensitivity</vt:lpstr>
      <vt:lpstr>Comps</vt:lpstr>
      <vt:lpstr>Football Field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TOKI</cp:lastModifiedBy>
  <cp:revision>0</cp:revision>
  <dcterms:created xsi:type="dcterms:W3CDTF">2026-04-22T22:12:56Z</dcterms:created>
  <dcterms:modified xsi:type="dcterms:W3CDTF">2026-04-23T14:56:27Z</dcterms:modified>
  <dc:language>en-US</dc:language>
</cp:coreProperties>
</file>