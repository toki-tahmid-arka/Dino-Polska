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5" tabRatio="754" activeTab="2"/>
  </bookViews>
  <sheets>
    <sheet name="Cover" sheetId="1" r:id="rId1"/>
    <sheet name="Assumptions" sheetId="2" r:id="rId2"/>
    <sheet name="Income Statement" sheetId="3" r:id="rId3"/>
    <sheet name="Balance Sheet" sheetId="4" r:id="rId4"/>
    <sheet name="Cash Flow Statement" sheetId="5" r:id="rId5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5" l="1"/>
  <c r="D27" i="5" s="1"/>
  <c r="E29" i="5"/>
  <c r="F29" i="5"/>
  <c r="G29" i="5"/>
  <c r="H29" i="5"/>
  <c r="I29" i="5"/>
  <c r="E28" i="5"/>
  <c r="F28" i="5"/>
  <c r="G28" i="5"/>
  <c r="H28" i="5"/>
  <c r="I28" i="5"/>
  <c r="E27" i="5"/>
  <c r="F27" i="5"/>
  <c r="G27" i="5"/>
  <c r="H27" i="5"/>
  <c r="I27" i="5"/>
  <c r="D29" i="5" l="1"/>
  <c r="D28" i="5"/>
  <c r="I9" i="4"/>
  <c r="J9" i="4"/>
  <c r="K9" i="4"/>
  <c r="D22" i="5" l="1"/>
  <c r="I9" i="5" l="1"/>
  <c r="J9" i="5"/>
  <c r="K9" i="5"/>
  <c r="F9" i="5"/>
  <c r="G9" i="5"/>
  <c r="H9" i="5"/>
  <c r="E9" i="5"/>
  <c r="J29" i="4" l="1"/>
  <c r="K29" i="4"/>
  <c r="I29" i="4"/>
  <c r="J25" i="4"/>
  <c r="K25" i="4"/>
  <c r="I25" i="4"/>
  <c r="E33" i="2"/>
  <c r="F33" i="2"/>
  <c r="G33" i="2"/>
  <c r="H33" i="2"/>
  <c r="D33" i="2"/>
  <c r="E27" i="2"/>
  <c r="F27" i="2"/>
  <c r="G27" i="2"/>
  <c r="H27" i="2"/>
  <c r="D27" i="2"/>
  <c r="E8" i="5" l="1"/>
  <c r="F8" i="5"/>
  <c r="G8" i="5"/>
  <c r="H8" i="5"/>
  <c r="D8" i="5"/>
  <c r="E7" i="5"/>
  <c r="F7" i="5"/>
  <c r="G7" i="5"/>
  <c r="H7" i="5"/>
  <c r="D7" i="5"/>
  <c r="E23" i="2" l="1"/>
  <c r="F23" i="2"/>
  <c r="G23" i="2"/>
  <c r="H23" i="2"/>
  <c r="E24" i="2"/>
  <c r="F24" i="2"/>
  <c r="G24" i="2"/>
  <c r="H24" i="2"/>
  <c r="D24" i="2"/>
  <c r="E21" i="2"/>
  <c r="F21" i="2"/>
  <c r="G21" i="2"/>
  <c r="H21" i="2"/>
  <c r="D21" i="2"/>
  <c r="E19" i="2"/>
  <c r="F19" i="2"/>
  <c r="G19" i="2"/>
  <c r="H19" i="2"/>
  <c r="D19" i="2"/>
  <c r="E18" i="2"/>
  <c r="F18" i="2"/>
  <c r="G18" i="2"/>
  <c r="H18" i="2"/>
  <c r="D18" i="2"/>
  <c r="F41" i="2"/>
  <c r="G41" i="2"/>
  <c r="H41" i="2"/>
  <c r="E41" i="2"/>
  <c r="D41" i="2"/>
  <c r="E40" i="2"/>
  <c r="F40" i="2"/>
  <c r="G40" i="2"/>
  <c r="H40" i="2"/>
  <c r="D40" i="2"/>
  <c r="E34" i="2"/>
  <c r="F34" i="2"/>
  <c r="G34" i="2"/>
  <c r="H34" i="2"/>
  <c r="D34" i="2"/>
  <c r="E32" i="2" l="1"/>
  <c r="F32" i="2"/>
  <c r="G32" i="2"/>
  <c r="H32" i="2"/>
  <c r="D32" i="2"/>
  <c r="E38" i="4" l="1"/>
  <c r="F38" i="4"/>
  <c r="G38" i="4"/>
  <c r="H38" i="4"/>
  <c r="D38" i="4"/>
  <c r="I21" i="4"/>
  <c r="J20" i="5" l="1"/>
  <c r="K20" i="5"/>
  <c r="I20" i="5"/>
  <c r="I18" i="5"/>
  <c r="J18" i="5" s="1"/>
  <c r="K18" i="5" s="1"/>
  <c r="J37" i="4"/>
  <c r="K37" i="4"/>
  <c r="I37" i="4"/>
  <c r="J36" i="4"/>
  <c r="K36" i="4"/>
  <c r="I36" i="4"/>
  <c r="J34" i="4"/>
  <c r="K34" i="4"/>
  <c r="I34" i="4"/>
  <c r="J27" i="4"/>
  <c r="K27" i="4" s="1"/>
  <c r="J28" i="4"/>
  <c r="K28" i="4" s="1"/>
  <c r="I28" i="4"/>
  <c r="I27" i="4"/>
  <c r="J21" i="4"/>
  <c r="K21" i="4" s="1"/>
  <c r="J15" i="4"/>
  <c r="K15" i="4"/>
  <c r="I15" i="4"/>
  <c r="J14" i="4"/>
  <c r="K14" i="4"/>
  <c r="I14" i="4"/>
  <c r="J13" i="4"/>
  <c r="K13" i="4"/>
  <c r="I13" i="4"/>
  <c r="E12" i="4"/>
  <c r="F12" i="4"/>
  <c r="G12" i="4"/>
  <c r="H12" i="4"/>
  <c r="D12" i="4"/>
  <c r="J6" i="3"/>
  <c r="K6" i="3" s="1"/>
  <c r="I6" i="3"/>
  <c r="I13" i="5" l="1"/>
  <c r="I21" i="5"/>
  <c r="E22" i="5"/>
  <c r="F22" i="5"/>
  <c r="G22" i="5"/>
  <c r="H22" i="5"/>
  <c r="E11" i="5"/>
  <c r="F11" i="5"/>
  <c r="G11" i="5"/>
  <c r="H11" i="5"/>
  <c r="E30" i="4"/>
  <c r="F30" i="4"/>
  <c r="G30" i="4"/>
  <c r="H30" i="4"/>
  <c r="D30" i="4"/>
  <c r="J23" i="4"/>
  <c r="K23" i="4"/>
  <c r="I23" i="4"/>
  <c r="J22" i="4"/>
  <c r="K22" i="4"/>
  <c r="I22" i="4"/>
  <c r="J20" i="4"/>
  <c r="K20" i="4"/>
  <c r="I20" i="4"/>
  <c r="E17" i="4"/>
  <c r="F17" i="4"/>
  <c r="G17" i="4"/>
  <c r="H17" i="4"/>
  <c r="D17" i="4"/>
  <c r="J11" i="4"/>
  <c r="K11" i="4"/>
  <c r="J10" i="4"/>
  <c r="K10" i="4"/>
  <c r="I11" i="4"/>
  <c r="I10" i="4"/>
  <c r="I12" i="3"/>
  <c r="I13" i="3"/>
  <c r="I14" i="3"/>
  <c r="I17" i="3"/>
  <c r="I18" i="3"/>
  <c r="K13" i="5" l="1"/>
  <c r="J13" i="5"/>
  <c r="I8" i="3"/>
  <c r="I11" i="3"/>
  <c r="F22" i="2"/>
  <c r="G22" i="2"/>
  <c r="H22" i="2"/>
  <c r="E22" i="2"/>
  <c r="D22" i="2"/>
  <c r="D23" i="2"/>
  <c r="E17" i="2"/>
  <c r="F17" i="2"/>
  <c r="G17" i="2"/>
  <c r="H17" i="2"/>
  <c r="D17" i="2"/>
  <c r="E25" i="3"/>
  <c r="F25" i="3"/>
  <c r="G25" i="3"/>
  <c r="H25" i="3"/>
  <c r="D25" i="3"/>
  <c r="E16" i="3"/>
  <c r="F16" i="3"/>
  <c r="G16" i="3"/>
  <c r="H16" i="3"/>
  <c r="D16" i="3"/>
  <c r="E10" i="3"/>
  <c r="F10" i="3"/>
  <c r="G10" i="3"/>
  <c r="H10" i="3"/>
  <c r="D10" i="3"/>
  <c r="E9" i="3" l="1"/>
  <c r="E15" i="3" s="1"/>
  <c r="F9" i="3"/>
  <c r="G9" i="3"/>
  <c r="G15" i="3" s="1"/>
  <c r="H9" i="3"/>
  <c r="H15" i="3" s="1"/>
  <c r="H24" i="3" s="1"/>
  <c r="D9" i="3"/>
  <c r="I7" i="3"/>
  <c r="I20" i="2"/>
  <c r="J20" i="2"/>
  <c r="K20" i="2"/>
  <c r="I13" i="2"/>
  <c r="J13" i="2"/>
  <c r="K13" i="2"/>
  <c r="I11" i="2"/>
  <c r="J11" i="2"/>
  <c r="K11" i="2"/>
  <c r="I10" i="2"/>
  <c r="J10" i="2"/>
  <c r="K10" i="2"/>
  <c r="F7" i="2"/>
  <c r="J7" i="2"/>
  <c r="K7" i="2"/>
  <c r="E29" i="2"/>
  <c r="F29" i="2"/>
  <c r="G29" i="2"/>
  <c r="H29" i="2"/>
  <c r="D29" i="2"/>
  <c r="E36" i="2"/>
  <c r="F36" i="2"/>
  <c r="G36" i="2"/>
  <c r="H36" i="2"/>
  <c r="D36" i="2"/>
  <c r="E35" i="2"/>
  <c r="F35" i="2"/>
  <c r="G35" i="2"/>
  <c r="H35" i="2"/>
  <c r="D35" i="2"/>
  <c r="D15" i="3" l="1"/>
  <c r="D24" i="3" s="1"/>
  <c r="I14" i="2"/>
  <c r="G24" i="3"/>
  <c r="G19" i="3"/>
  <c r="E24" i="3"/>
  <c r="E19" i="3"/>
  <c r="H19" i="3"/>
  <c r="F15" i="3"/>
  <c r="D19" i="3"/>
  <c r="E28" i="2"/>
  <c r="F28" i="2"/>
  <c r="G28" i="2"/>
  <c r="H28" i="2"/>
  <c r="D28" i="2"/>
  <c r="I9" i="3"/>
  <c r="I15" i="3" s="1"/>
  <c r="I23" i="2" s="1"/>
  <c r="F14" i="2"/>
  <c r="G14" i="2"/>
  <c r="H14" i="2"/>
  <c r="E14" i="2"/>
  <c r="E13" i="2"/>
  <c r="E11" i="2"/>
  <c r="D11" i="2"/>
  <c r="F10" i="2"/>
  <c r="F11" i="2" s="1"/>
  <c r="F13" i="2" s="1"/>
  <c r="E10" i="2"/>
  <c r="E7" i="2"/>
  <c r="D10" i="2"/>
  <c r="J8" i="3" l="1"/>
  <c r="J14" i="3"/>
  <c r="J12" i="3"/>
  <c r="J11" i="3"/>
  <c r="J13" i="3"/>
  <c r="I10" i="3"/>
  <c r="J9" i="3"/>
  <c r="J14" i="2"/>
  <c r="J7" i="3"/>
  <c r="H20" i="2"/>
  <c r="D22" i="3"/>
  <c r="D21" i="3"/>
  <c r="E22" i="3"/>
  <c r="E21" i="3"/>
  <c r="F24" i="3"/>
  <c r="F19" i="3"/>
  <c r="H22" i="3"/>
  <c r="H21" i="3"/>
  <c r="G22" i="3"/>
  <c r="G21" i="3"/>
  <c r="F20" i="2"/>
  <c r="D20" i="2"/>
  <c r="E20" i="2"/>
  <c r="G20" i="2"/>
  <c r="G10" i="2"/>
  <c r="G7" i="2"/>
  <c r="D26" i="5"/>
  <c r="E25" i="5" s="1"/>
  <c r="E26" i="5" s="1"/>
  <c r="F25" i="5" s="1"/>
  <c r="F26" i="5" s="1"/>
  <c r="G25" i="5" s="1"/>
  <c r="G26" i="5" s="1"/>
  <c r="H25" i="5" s="1"/>
  <c r="H26" i="5" s="1"/>
  <c r="I25" i="5" s="1"/>
  <c r="E16" i="5"/>
  <c r="F16" i="5"/>
  <c r="G16" i="5"/>
  <c r="H16" i="5"/>
  <c r="I16" i="5"/>
  <c r="J16" i="5"/>
  <c r="K16" i="5"/>
  <c r="D16" i="5"/>
  <c r="E24" i="4"/>
  <c r="F24" i="4"/>
  <c r="G24" i="4"/>
  <c r="H24" i="4"/>
  <c r="I24" i="4"/>
  <c r="J24" i="4"/>
  <c r="K24" i="4"/>
  <c r="D24" i="4"/>
  <c r="K11" i="3" l="1"/>
  <c r="K12" i="3"/>
  <c r="K8" i="3"/>
  <c r="K14" i="3"/>
  <c r="K13" i="3"/>
  <c r="I16" i="3"/>
  <c r="J10" i="3"/>
  <c r="J15" i="3"/>
  <c r="J23" i="2" s="1"/>
  <c r="K14" i="2"/>
  <c r="K7" i="3"/>
  <c r="F22" i="3"/>
  <c r="F21" i="3"/>
  <c r="G11" i="2"/>
  <c r="G13" i="2" s="1"/>
  <c r="H10" i="2"/>
  <c r="I7" i="2" s="1"/>
  <c r="H7" i="2"/>
  <c r="K9" i="3" l="1"/>
  <c r="K15" i="3" s="1"/>
  <c r="K23" i="2" s="1"/>
  <c r="K10" i="3"/>
  <c r="J16" i="3"/>
  <c r="I19" i="3"/>
  <c r="H11" i="2"/>
  <c r="H13" i="2" s="1"/>
  <c r="G31" i="4"/>
  <c r="G39" i="4" s="1"/>
  <c r="F31" i="4"/>
  <c r="F39" i="4" s="1"/>
  <c r="E31" i="4"/>
  <c r="E39" i="4" s="1"/>
  <c r="H31" i="4"/>
  <c r="H39" i="4" s="1"/>
  <c r="K16" i="3" l="1"/>
  <c r="I20" i="3"/>
  <c r="I10" i="5" s="1"/>
  <c r="F18" i="4"/>
  <c r="F41" i="4" s="1"/>
  <c r="F7" i="3"/>
  <c r="G7" i="3"/>
  <c r="H7" i="3"/>
  <c r="E7" i="3"/>
  <c r="I21" i="3" l="1"/>
  <c r="I22" i="3"/>
  <c r="I7" i="5" s="1"/>
  <c r="H18" i="4"/>
  <c r="H41" i="4" s="1"/>
  <c r="D18" i="4"/>
  <c r="E18" i="4"/>
  <c r="E41" i="4" s="1"/>
  <c r="G18" i="4"/>
  <c r="G41" i="4" s="1"/>
  <c r="D31" i="4"/>
  <c r="D39" i="4" s="1"/>
  <c r="D41" i="4" l="1"/>
  <c r="K23" i="3"/>
  <c r="K8" i="5" s="1"/>
  <c r="I8" i="4"/>
  <c r="I12" i="4" s="1"/>
  <c r="J23" i="3"/>
  <c r="J8" i="5" s="1"/>
  <c r="J24" i="3"/>
  <c r="J25" i="3" s="1"/>
  <c r="I23" i="3"/>
  <c r="I24" i="3" s="1"/>
  <c r="I25" i="3" s="1"/>
  <c r="I8" i="5"/>
  <c r="I11" i="5"/>
  <c r="I19" i="5" s="1"/>
  <c r="I22" i="5" s="1"/>
  <c r="J8" i="4" l="1"/>
  <c r="K8" i="4" s="1"/>
  <c r="K12" i="4" s="1"/>
  <c r="I24" i="5"/>
  <c r="I26" i="5" s="1"/>
  <c r="J12" i="4"/>
  <c r="K24" i="3"/>
  <c r="K25" i="3" s="1"/>
  <c r="I26" i="4"/>
  <c r="J18" i="3" l="1"/>
  <c r="J21" i="5" s="1"/>
  <c r="I30" i="4"/>
  <c r="I31" i="4" s="1"/>
  <c r="I16" i="4"/>
  <c r="J25" i="5"/>
  <c r="I17" i="4" l="1"/>
  <c r="I18" i="4" s="1"/>
  <c r="I35" i="4" s="1"/>
  <c r="J17" i="3"/>
  <c r="J19" i="3" s="1"/>
  <c r="J20" i="3" l="1"/>
  <c r="J10" i="5" s="1"/>
  <c r="J21" i="3" l="1"/>
  <c r="J22" i="3"/>
  <c r="J7" i="5" s="1"/>
  <c r="J11" i="5" s="1"/>
  <c r="I32" i="4"/>
  <c r="I38" i="4"/>
  <c r="I39" i="4" s="1"/>
  <c r="I41" i="4" s="1"/>
  <c r="J19" i="5" l="1"/>
  <c r="J27" i="5"/>
  <c r="J22" i="5"/>
  <c r="J24" i="5" s="1"/>
  <c r="J26" i="5" s="1"/>
  <c r="J26" i="4"/>
  <c r="J29" i="5" l="1"/>
  <c r="J28" i="5"/>
  <c r="K18" i="3"/>
  <c r="K21" i="5" s="1"/>
  <c r="J30" i="4"/>
  <c r="J31" i="4" s="1"/>
  <c r="J16" i="4"/>
  <c r="K25" i="5"/>
  <c r="J17" i="4" l="1"/>
  <c r="J18" i="4" s="1"/>
  <c r="K17" i="3"/>
  <c r="K19" i="3" s="1"/>
  <c r="K20" i="3" l="1"/>
  <c r="K10" i="5" s="1"/>
  <c r="J35" i="4"/>
  <c r="K22" i="3" l="1"/>
  <c r="K7" i="5" s="1"/>
  <c r="K11" i="5" s="1"/>
  <c r="K21" i="3"/>
  <c r="J32" i="4"/>
  <c r="J38" i="4"/>
  <c r="J39" i="4" s="1"/>
  <c r="J41" i="4" s="1"/>
  <c r="K19" i="5" l="1"/>
  <c r="K27" i="5"/>
  <c r="K22" i="5"/>
  <c r="K24" i="5" s="1"/>
  <c r="K26" i="5" s="1"/>
  <c r="K16" i="4" s="1"/>
  <c r="K17" i="4" s="1"/>
  <c r="K18" i="4" s="1"/>
  <c r="K26" i="4"/>
  <c r="K30" i="4" s="1"/>
  <c r="K31" i="4" s="1"/>
  <c r="K28" i="5" l="1"/>
  <c r="K29" i="5"/>
  <c r="K35" i="4"/>
  <c r="K38" i="4" l="1"/>
  <c r="K39" i="4" s="1"/>
  <c r="K41" i="4" s="1"/>
  <c r="K32" i="4"/>
</calcChain>
</file>

<file path=xl/sharedStrings.xml><?xml version="1.0" encoding="utf-8"?>
<sst xmlns="http://schemas.openxmlformats.org/spreadsheetml/2006/main" count="222" uniqueCount="190">
  <si>
    <t>DINO POLSKA S.A. — THREE-STATEMENT FINANCIAL MODEL</t>
  </si>
  <si>
    <t xml:space="preserve"> About This Model</t>
  </si>
  <si>
    <t xml:space="preserve">  Company:</t>
  </si>
  <si>
    <t xml:space="preserve">  Sector:</t>
  </si>
  <si>
    <t xml:space="preserve">  Period:</t>
  </si>
  <si>
    <t xml:space="preserve">  IS Sources:</t>
  </si>
  <si>
    <t xml:space="preserve">  2025A Source:</t>
  </si>
  <si>
    <t xml:space="preserve">  BS/CFS Notes:</t>
  </si>
  <si>
    <t xml:space="preserve">  COGS 2025A:</t>
  </si>
  <si>
    <t xml:space="preserve"> Navigation</t>
  </si>
  <si>
    <t xml:space="preserve">  ▶  Assumptions</t>
  </si>
  <si>
    <t xml:space="preserve">  ▶  Income Statement</t>
  </si>
  <si>
    <t xml:space="preserve">  ▶  Balance Sheet</t>
  </si>
  <si>
    <t xml:space="preserve">  ▶  Cash Flow Statement</t>
  </si>
  <si>
    <t xml:space="preserve"> Color Coding</t>
  </si>
  <si>
    <t xml:space="preserve">  ●  Blue text</t>
  </si>
  <si>
    <t xml:space="preserve">  ●  Black text</t>
  </si>
  <si>
    <t xml:space="preserve">  ●  Green text</t>
  </si>
  <si>
    <t xml:space="preserve">  ●  Dark navy header</t>
  </si>
  <si>
    <t>Dino Polska S.A.</t>
  </si>
  <si>
    <t>Food Retail / Supermarkets  |  HQ: Krotoszyn, Poland</t>
  </si>
  <si>
    <t>FY2021A–FY2025A (Historical), FY2026E–FY2028E (Forecast)</t>
  </si>
  <si>
    <t>Consolidated Financial Statements (IFRS), Annual Reports 2021–2025</t>
  </si>
  <si>
    <t>Dino Polska Group 2025 Consolidated Financial Statements</t>
  </si>
  <si>
    <t>Balance Sheet and Cash Flow data aligned and standardized across reporting periods</t>
  </si>
  <si>
    <t>Inputs / Assumptions</t>
  </si>
  <si>
    <t>Calculations</t>
  </si>
  <si>
    <t>Sheet links</t>
  </si>
  <si>
    <t>Headers</t>
  </si>
  <si>
    <t xml:space="preserve">  DINO POLSKA S.A. GROUP  —  Income Statement  |  PLN thousands</t>
  </si>
  <si>
    <t>◄  HISTORICAL ACTUALS (2021–2025)  ►</t>
  </si>
  <si>
    <t>◄  PROJECTED (2026–2028)  ►</t>
  </si>
  <si>
    <t>2021A</t>
  </si>
  <si>
    <t>2022A</t>
  </si>
  <si>
    <t>2023A</t>
  </si>
  <si>
    <t>2024A</t>
  </si>
  <si>
    <t>2025A</t>
  </si>
  <si>
    <t>2026E</t>
  </si>
  <si>
    <t>2027E</t>
  </si>
  <si>
    <t>2028E</t>
  </si>
  <si>
    <t>Consolidated Group (IFRS)  |  FY2021–FY2028E  |  Source: Annual Reports, grupadino.pl</t>
  </si>
  <si>
    <t xml:space="preserve">  DINO POLSKA S.A. GROUP  —  MODEL ASSUMPTIONS  (2026E–2028E)</t>
  </si>
  <si>
    <t xml:space="preserve">  DINO POLSKA S.A. GROUP  —  Balance Sheet  |  PLN thousands</t>
  </si>
  <si>
    <t xml:space="preserve">  DINO POLSKA S.A. GROUP  —  Cash Flow Statement (Indirect Method)  |  PLN thousands</t>
  </si>
  <si>
    <t>Consolidated Group (IFRS)  |  PLN thousands  |  FY2021A–FY2028E  |  Updated: April 2026</t>
  </si>
  <si>
    <t>Cost of sales</t>
  </si>
  <si>
    <t>Gross profit</t>
  </si>
  <si>
    <t xml:space="preserve">Sales revenue </t>
  </si>
  <si>
    <t>Other operating income</t>
  </si>
  <si>
    <t>Sales &amp; marketing</t>
  </si>
  <si>
    <t>G&amp;A</t>
  </si>
  <si>
    <t>Other operating expense</t>
  </si>
  <si>
    <t>EBIT</t>
  </si>
  <si>
    <t>Financial income</t>
  </si>
  <si>
    <t>Financial expense</t>
  </si>
  <si>
    <t>Profit before tax</t>
  </si>
  <si>
    <t>Income tax</t>
  </si>
  <si>
    <t>Net profit</t>
  </si>
  <si>
    <t>D&amp;A</t>
  </si>
  <si>
    <t>EBITDA</t>
  </si>
  <si>
    <t xml:space="preserve"> % YoY Growth</t>
  </si>
  <si>
    <t>"-"</t>
  </si>
  <si>
    <t>EBITDA Margin %</t>
  </si>
  <si>
    <t>EBIT Margin %</t>
  </si>
  <si>
    <t>Effective Tax Rate</t>
  </si>
  <si>
    <t>Gross Margin %</t>
  </si>
  <si>
    <t>PP&amp;E</t>
  </si>
  <si>
    <t>Right-of-use assets</t>
  </si>
  <si>
    <t>Intangible assets</t>
  </si>
  <si>
    <t>Deferred tax assets</t>
  </si>
  <si>
    <t>Inventories</t>
  </si>
  <si>
    <t>Trade &amp; other receivables</t>
  </si>
  <si>
    <t>Cash</t>
  </si>
  <si>
    <t>Total assets</t>
  </si>
  <si>
    <t>Total equity</t>
  </si>
  <si>
    <t>Total liabilities</t>
  </si>
  <si>
    <t>Total liab + equity</t>
  </si>
  <si>
    <t xml:space="preserve">Total non-current assets </t>
  </si>
  <si>
    <t>ASSETS</t>
  </si>
  <si>
    <t>Total current assets</t>
  </si>
  <si>
    <t>Share capital</t>
  </si>
  <si>
    <t>Supplementary capital</t>
  </si>
  <si>
    <t>Retained earnings</t>
  </si>
  <si>
    <t>Other equity</t>
  </si>
  <si>
    <t>LIABILITIES &amp; EQUITY</t>
  </si>
  <si>
    <t>Total non-current liabilities</t>
  </si>
  <si>
    <t>Equity attributable to owners of the parent</t>
  </si>
  <si>
    <t>Non-controlling interests</t>
  </si>
  <si>
    <t>Trade and other payables</t>
  </si>
  <si>
    <t>Total current liabilities</t>
  </si>
  <si>
    <t>Interest paid</t>
  </si>
  <si>
    <t>Balance check</t>
  </si>
  <si>
    <t>Tax paid</t>
  </si>
  <si>
    <t>Capex</t>
  </si>
  <si>
    <t>Acquisitions</t>
  </si>
  <si>
    <t>Other investing</t>
  </si>
  <si>
    <t>Lease payments</t>
  </si>
  <si>
    <t>Net bank debt change</t>
  </si>
  <si>
    <t>Net bond change</t>
  </si>
  <si>
    <t>Net change in cash</t>
  </si>
  <si>
    <t>Opening cash</t>
  </si>
  <si>
    <t>Ending cash</t>
  </si>
  <si>
    <t>LT bank debt</t>
  </si>
  <si>
    <t>LT lease liabilities</t>
  </si>
  <si>
    <t>LT bonds</t>
  </si>
  <si>
    <t>Other LT liabilities</t>
  </si>
  <si>
    <t>ST bank debt</t>
  </si>
  <si>
    <t>ST lease liabilities</t>
  </si>
  <si>
    <t>ST bonds</t>
  </si>
  <si>
    <t>Other current liabilities</t>
  </si>
  <si>
    <t xml:space="preserve">  CASH RECONCILIATION</t>
  </si>
  <si>
    <t xml:space="preserve">  INVESTING ACTIVITIES</t>
  </si>
  <si>
    <t xml:space="preserve">  OPERATING ACTIVITIES</t>
  </si>
  <si>
    <t xml:space="preserve">  FINANCING ACTIVITIES</t>
  </si>
  <si>
    <t>NET CASH FROM OPERATIONS</t>
  </si>
  <si>
    <t>NET CASH FROM INVESTING</t>
  </si>
  <si>
    <t>NET CASH FROM FINANCING</t>
  </si>
  <si>
    <t>Working capital</t>
  </si>
  <si>
    <t>Investment</t>
  </si>
  <si>
    <t>Financing</t>
  </si>
  <si>
    <t>Core drivers</t>
  </si>
  <si>
    <t>Margins / opex</t>
  </si>
  <si>
    <t>Other current assets</t>
  </si>
  <si>
    <t>Beginning stores</t>
  </si>
  <si>
    <t>Store openings</t>
  </si>
  <si>
    <t>Store closures / adjustments</t>
  </si>
  <si>
    <t>Ending stores</t>
  </si>
  <si>
    <t>Average stores</t>
  </si>
  <si>
    <t>LFL growth</t>
  </si>
  <si>
    <t>Store growth</t>
  </si>
  <si>
    <t>Revenue growth</t>
  </si>
  <si>
    <t>Gross margin</t>
  </si>
  <si>
    <t>Sales &amp; marketing % sales</t>
  </si>
  <si>
    <t>G&amp;A % sales</t>
  </si>
  <si>
    <t>OpEx %</t>
  </si>
  <si>
    <t>Other op income % sales</t>
  </si>
  <si>
    <t>Other op expense % sales</t>
  </si>
  <si>
    <t>EBIT margin</t>
  </si>
  <si>
    <t>Tax rate</t>
  </si>
  <si>
    <t>D&amp;A % sales</t>
  </si>
  <si>
    <t>Capex % sales</t>
  </si>
  <si>
    <t>Lease growth</t>
  </si>
  <si>
    <t>Other current assets % sales</t>
  </si>
  <si>
    <t>Other current liabilities % sales</t>
  </si>
  <si>
    <t>Dividend payout %</t>
  </si>
  <si>
    <t>Interest income rate</t>
  </si>
  <si>
    <t>Interest expense rate</t>
  </si>
  <si>
    <t>Bond repayment</t>
  </si>
  <si>
    <t>Minimum cash balance</t>
  </si>
  <si>
    <t>Commentary</t>
  </si>
  <si>
    <t>Days Sales Outstandin - DSO</t>
  </si>
  <si>
    <t>Days Inventory Outstanding - DIO</t>
  </si>
  <si>
    <t>Days Payable Outstanding - DPO</t>
  </si>
  <si>
    <t>Based on prior year ending store count; reflects continued network expansion strategy.</t>
  </si>
  <si>
    <t>Assumes steady expansion of the store network as the company continues its growth strategy in the Polish retail market.</t>
  </si>
  <si>
    <t>Minimal closures assumed as the company maintains a stable store base with limited restructuring.</t>
  </si>
  <si>
    <t>Calculated as beginning stores plus net store openings; reflects continued retail footprint expansion.</t>
  </si>
  <si>
    <t>Average store base used for operational metrics and revenue generation calculations.</t>
  </si>
  <si>
    <t>Moderating from historical highs as store network matures and growth stabilizes.</t>
  </si>
  <si>
    <t>Gradually slowing expansion rate as the company reaches higher market penetration.</t>
  </si>
  <si>
    <t>Driven primarily by new store openings and stable like-for-like sales growth.</t>
  </si>
  <si>
    <t>Slight improvement expected as operational efficiency improves and supply chain costs stabilize.</t>
  </si>
  <si>
    <t>Expected to remain relatively stable as a percentage of revenue due to efficient marketing strategy.</t>
  </si>
  <si>
    <t>Gradual cost efficiency expected as administrative costs benefit from operational scale.</t>
  </si>
  <si>
    <t>Operating expenses projected to decline slightly as revenue growth generates operating leverage.</t>
  </si>
  <si>
    <t>Assumed to remain stable with limited contribution from non-core operating activities.</t>
  </si>
  <si>
    <t>Minor operational expenses assumed to remain stable relative to revenue.</t>
  </si>
  <si>
    <t>Expected to improve gradually as scale benefits and operational efficiency increase profitability.</t>
  </si>
  <si>
    <t>Depreciation expected to decline slightly relative to revenue as assets mature and revenue base grows.</t>
  </si>
  <si>
    <t>Capital expenditures expected to gradually decrease after periods of strong investment in store expansion.</t>
  </si>
  <si>
    <t>Moderate growth assumed as additional stores require new lease agreements.</t>
  </si>
  <si>
    <t>Inventory turnover expected to improve slightly as supply chain management becomes more efficient.</t>
  </si>
  <si>
    <t>Receivables remain low due to retail business model with primarily cash or card transactions.</t>
  </si>
  <si>
    <t>Payable period assumed to remain stable reflecting strong supplier relationships.</t>
  </si>
  <si>
    <t>Minor current asset components expected to remain stable relative to revenue.</t>
  </si>
  <si>
    <t>Short-term liabilities assumed to move proportionally with operational activity.</t>
  </si>
  <si>
    <t>No dividend payout assumed as profits are retained to support business expansion.</t>
  </si>
  <si>
    <t>Interest income estimated based on expected returns on excess cash balances.</t>
  </si>
  <si>
    <t>Interest expense estimated based on average borrowing cost of outstanding debt.</t>
  </si>
  <si>
    <t>Repayment schedule reflects planned reduction of outstanding debt obligations.</t>
  </si>
  <si>
    <t>Minimum liquidity buffer maintained to ensure operational and financial stability.</t>
  </si>
  <si>
    <t>Working capital changes</t>
  </si>
  <si>
    <t>Free Cash Flow</t>
  </si>
  <si>
    <t>FCF Margin %</t>
  </si>
  <si>
    <t>FCF Conversion %</t>
  </si>
  <si>
    <r>
      <t xml:space="preserve">Aligned with the </t>
    </r>
    <r>
      <rPr>
        <b/>
        <sz val="11"/>
        <color theme="1" tint="0.249977111117893"/>
        <rFont val="Arial"/>
        <family val="2"/>
      </rPr>
      <t>Polish corporate income tax rate (~19%)</t>
    </r>
    <r>
      <rPr>
        <sz val="11"/>
        <color theme="1" tint="0.249977111117893"/>
        <rFont val="Arial"/>
        <family val="2"/>
      </rPr>
      <t>, consistent with recent financial performance.</t>
    </r>
  </si>
  <si>
    <t>Indirect method: Operating, Investing, Financing  |  2024–25 CFS confirmed from official reports</t>
  </si>
  <si>
    <t>Assets, Liabilities &amp; Equity  |  Confirms 2024A and 2025A aggregate totals</t>
  </si>
  <si>
    <t>Revenue → EBITDA → EBIT → Net Income  |  2021A–2028E  |  8 years</t>
  </si>
  <si>
    <t>Revenue growth, margins, CapEx, working capital drivers — change any blue cell to run scenarios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</si>
</sst>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\(#,##0\);\-"/>
    <numFmt numFmtId="165" formatCode="0.0%;\(0.0%\);\-"/>
  </numFmts>
  <fonts count="3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Arial"/>
      <family val="2"/>
    </font>
    <font>
      <b/>
      <sz val="11"/>
      <color rgb="FFFFFFFF"/>
      <name val="Arial"/>
      <family val="2"/>
    </font>
    <font>
      <b/>
      <sz val="10"/>
      <color rgb="FF2E75B6"/>
      <name val="Arial"/>
      <family val="2"/>
    </font>
    <font>
      <b/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color rgb="FF008000"/>
      <name val="Arial"/>
      <family val="2"/>
    </font>
    <font>
      <b/>
      <sz val="10"/>
      <color rgb="FF1F3864"/>
      <name val="Arial"/>
      <family val="2"/>
    </font>
    <font>
      <b/>
      <sz val="16"/>
      <color theme="0"/>
      <name val="Arial"/>
      <family val="2"/>
    </font>
    <font>
      <b/>
      <sz val="16"/>
      <color theme="0"/>
      <name val="Calibri"/>
      <family val="2"/>
      <scheme val="minor"/>
    </font>
    <font>
      <b/>
      <sz val="14"/>
      <color rgb="FFFFFFFF"/>
      <name val="Arial"/>
      <family val="2"/>
    </font>
    <font>
      <b/>
      <sz val="13"/>
      <color rgb="FFFFFFFF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9"/>
      <color rgb="FFFFFFFF"/>
      <name val="Arial"/>
      <family val="2"/>
    </font>
    <font>
      <sz val="9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rgb="FF0000FF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theme="9" tint="-0.499984740745262"/>
      <name val="Arial"/>
      <family val="2"/>
    </font>
    <font>
      <sz val="11"/>
      <name val="Calibri"/>
      <family val="2"/>
      <scheme val="minor"/>
    </font>
    <font>
      <b/>
      <sz val="11"/>
      <color theme="9" tint="-0.499984740745262"/>
      <name val="Arial"/>
      <family val="2"/>
    </font>
    <font>
      <i/>
      <sz val="10"/>
      <color rgb="FF606060"/>
      <name val="Arial"/>
      <family val="2"/>
    </font>
    <font>
      <sz val="10"/>
      <color theme="1"/>
      <name val="Arial"/>
      <family val="2"/>
    </font>
    <font>
      <sz val="10"/>
      <color theme="9" tint="-0.499984740745262"/>
      <name val="Arial"/>
      <family val="2"/>
    </font>
    <font>
      <sz val="10"/>
      <name val="Arial"/>
      <family val="2"/>
    </font>
    <font>
      <sz val="11"/>
      <color theme="1" tint="0.249977111117893"/>
      <name val="Arial"/>
      <family val="2"/>
    </font>
    <font>
      <b/>
      <sz val="11"/>
      <color theme="1" tint="0.24997711111789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1F3864"/>
        <bgColor rgb="FF404040"/>
      </patternFill>
    </fill>
    <fill>
      <patternFill patternType="solid">
        <fgColor rgb="FFEBF3FB"/>
        <bgColor rgb="FFFFFFFF"/>
      </patternFill>
    </fill>
    <fill>
      <patternFill patternType="solid">
        <fgColor rgb="FFFFFFFF"/>
        <bgColor rgb="FFEBF3FB"/>
      </patternFill>
    </fill>
    <fill>
      <patternFill patternType="solid">
        <fgColor rgb="FFD6E4F7"/>
        <bgColor rgb="FFEBF3FB"/>
      </patternFill>
    </fill>
    <fill>
      <patternFill patternType="solid">
        <fgColor rgb="FF2E75B6"/>
        <bgColor rgb="FF4472C4"/>
      </patternFill>
    </fill>
    <fill>
      <patternFill patternType="solid">
        <fgColor rgb="FF375623"/>
        <bgColor rgb="FF404040"/>
      </patternFill>
    </fill>
    <fill>
      <patternFill patternType="solid">
        <fgColor rgb="FF00206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rgb="FF4472C4"/>
      </patternFill>
    </fill>
    <fill>
      <patternFill patternType="solid">
        <fgColor theme="0"/>
        <bgColor rgb="FF404040"/>
      </patternFill>
    </fill>
    <fill>
      <patternFill patternType="solid">
        <fgColor theme="4"/>
        <bgColor rgb="FF2E75B6"/>
      </patternFill>
    </fill>
    <fill>
      <patternFill patternType="solid">
        <fgColor rgb="FF4472C4"/>
        <bgColor rgb="FF2E75B6"/>
      </patternFill>
    </fill>
    <fill>
      <patternFill patternType="solid">
        <fgColor theme="4" tint="-0.249977111117893"/>
        <bgColor rgb="FF4472C4"/>
      </patternFill>
    </fill>
    <fill>
      <patternFill patternType="solid">
        <fgColor theme="4" tint="-0.249977111117893"/>
        <bgColor rgb="FF404040"/>
      </patternFill>
    </fill>
    <fill>
      <patternFill patternType="solid">
        <fgColor theme="4" tint="-0.249977111117893"/>
        <bgColor rgb="FF2E75B6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21" fillId="0" borderId="0" applyFont="0" applyFill="0" applyBorder="0" applyAlignment="0" applyProtection="0"/>
    <xf numFmtId="0" fontId="33" fillId="0" borderId="0" applyNumberFormat="0" applyFill="0" applyBorder="0" applyAlignment="0" applyProtection="0"/>
  </cellStyleXfs>
  <cellXfs count="104">
    <xf numFmtId="0" fontId="0" fillId="0" borderId="0" xfId="0"/>
    <xf numFmtId="0" fontId="0" fillId="2" borderId="0" xfId="0" applyFill="1"/>
    <xf numFmtId="0" fontId="4" fillId="5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8" fillId="6" borderId="0" xfId="0" applyFont="1" applyFill="1" applyAlignment="1">
      <alignment horizontal="left" vertical="center"/>
    </xf>
    <xf numFmtId="0" fontId="13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3" fillId="2" borderId="0" xfId="0" applyFont="1" applyFill="1"/>
    <xf numFmtId="2" fontId="15" fillId="2" borderId="0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right" vertical="center"/>
    </xf>
    <xf numFmtId="0" fontId="3" fillId="9" borderId="0" xfId="0" applyFont="1" applyFill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3" fillId="12" borderId="0" xfId="0" applyFont="1" applyFill="1" applyAlignment="1">
      <alignment horizontal="right" vertical="center"/>
    </xf>
    <xf numFmtId="0" fontId="3" fillId="13" borderId="0" xfId="0" applyFont="1" applyFill="1" applyAlignment="1">
      <alignment horizontal="right" vertical="center"/>
    </xf>
    <xf numFmtId="0" fontId="13" fillId="2" borderId="0" xfId="0" applyFont="1" applyFill="1" applyBorder="1" applyAlignment="1">
      <alignment vertical="center"/>
    </xf>
    <xf numFmtId="0" fontId="13" fillId="11" borderId="0" xfId="0" applyFont="1" applyFill="1" applyAlignment="1">
      <alignment vertical="center"/>
    </xf>
    <xf numFmtId="0" fontId="19" fillId="11" borderId="0" xfId="0" applyFont="1" applyFill="1" applyAlignment="1">
      <alignment vertical="center"/>
    </xf>
    <xf numFmtId="0" fontId="19" fillId="11" borderId="0" xfId="0" applyFont="1" applyFill="1"/>
    <xf numFmtId="0" fontId="19" fillId="11" borderId="0" xfId="0" applyFont="1" applyFill="1" applyBorder="1" applyAlignment="1">
      <alignment vertical="center"/>
    </xf>
    <xf numFmtId="164" fontId="20" fillId="2" borderId="0" xfId="0" applyNumberFormat="1" applyFont="1" applyFill="1" applyAlignment="1">
      <alignment horizontal="right" vertical="center"/>
    </xf>
    <xf numFmtId="164" fontId="19" fillId="11" borderId="0" xfId="0" applyNumberFormat="1" applyFont="1" applyFill="1" applyAlignment="1">
      <alignment horizontal="right" vertical="center"/>
    </xf>
    <xf numFmtId="164" fontId="20" fillId="2" borderId="0" xfId="0" applyNumberFormat="1" applyFont="1" applyFill="1"/>
    <xf numFmtId="164" fontId="13" fillId="2" borderId="0" xfId="0" applyNumberFormat="1" applyFont="1" applyFill="1" applyAlignment="1">
      <alignment horizontal="right" vertical="center"/>
    </xf>
    <xf numFmtId="0" fontId="17" fillId="2" borderId="0" xfId="0" applyFont="1" applyFill="1"/>
    <xf numFmtId="0" fontId="22" fillId="2" borderId="0" xfId="0" applyFont="1" applyFill="1"/>
    <xf numFmtId="164" fontId="22" fillId="2" borderId="0" xfId="0" applyNumberFormat="1" applyFont="1" applyFill="1"/>
    <xf numFmtId="0" fontId="18" fillId="11" borderId="0" xfId="0" applyFont="1" applyFill="1" applyAlignment="1">
      <alignment vertical="center"/>
    </xf>
    <xf numFmtId="0" fontId="14" fillId="11" borderId="0" xfId="0" applyFont="1" applyFill="1" applyAlignment="1">
      <alignment vertical="center"/>
    </xf>
    <xf numFmtId="164" fontId="24" fillId="2" borderId="0" xfId="0" applyNumberFormat="1" applyFont="1" applyFill="1" applyAlignment="1">
      <alignment horizontal="right" vertical="center"/>
    </xf>
    <xf numFmtId="164" fontId="18" fillId="11" borderId="0" xfId="0" applyNumberFormat="1" applyFont="1" applyFill="1" applyAlignment="1">
      <alignment horizontal="right" vertical="center"/>
    </xf>
    <xf numFmtId="164" fontId="14" fillId="2" borderId="0" xfId="0" applyNumberFormat="1" applyFont="1" applyFill="1" applyAlignment="1">
      <alignment horizontal="right" vertical="center"/>
    </xf>
    <xf numFmtId="0" fontId="0" fillId="2" borderId="0" xfId="0" applyFill="1" applyAlignment="1">
      <alignment horizontal="right" vertical="center"/>
    </xf>
    <xf numFmtId="164" fontId="20" fillId="2" borderId="0" xfId="0" applyNumberFormat="1" applyFont="1" applyFill="1" applyBorder="1" applyAlignment="1">
      <alignment horizontal="right" vertical="center"/>
    </xf>
    <xf numFmtId="165" fontId="14" fillId="2" borderId="0" xfId="0" applyNumberFormat="1" applyFont="1" applyFill="1" applyBorder="1" applyAlignment="1">
      <alignment horizontal="right" vertical="center"/>
    </xf>
    <xf numFmtId="165" fontId="13" fillId="2" borderId="0" xfId="0" applyNumberFormat="1" applyFont="1" applyFill="1" applyAlignment="1">
      <alignment horizontal="right" vertical="center"/>
    </xf>
    <xf numFmtId="0" fontId="0" fillId="2" borderId="0" xfId="0" applyNumberFormat="1" applyFill="1"/>
    <xf numFmtId="0" fontId="25" fillId="2" borderId="0" xfId="0" applyFont="1" applyFill="1"/>
    <xf numFmtId="0" fontId="25" fillId="2" borderId="0" xfId="0" applyNumberFormat="1" applyFont="1" applyFill="1"/>
    <xf numFmtId="0" fontId="0" fillId="2" borderId="0" xfId="0" quotePrefix="1" applyFill="1"/>
    <xf numFmtId="164" fontId="20" fillId="2" borderId="0" xfId="0" applyNumberFormat="1" applyFont="1" applyFill="1" applyAlignment="1">
      <alignment vertical="center"/>
    </xf>
    <xf numFmtId="164" fontId="14" fillId="2" borderId="0" xfId="0" applyNumberFormat="1" applyFont="1" applyFill="1" applyAlignment="1">
      <alignment vertical="center"/>
    </xf>
    <xf numFmtId="0" fontId="20" fillId="2" borderId="0" xfId="0" applyNumberFormat="1" applyFont="1" applyFill="1" applyAlignment="1">
      <alignment vertical="center"/>
    </xf>
    <xf numFmtId="165" fontId="20" fillId="2" borderId="0" xfId="1" applyNumberFormat="1" applyFont="1" applyFill="1" applyAlignment="1">
      <alignment vertical="center"/>
    </xf>
    <xf numFmtId="165" fontId="20" fillId="2" borderId="0" xfId="0" applyNumberFormat="1" applyFont="1" applyFill="1" applyAlignment="1">
      <alignment vertical="center"/>
    </xf>
    <xf numFmtId="165" fontId="14" fillId="2" borderId="0" xfId="0" applyNumberFormat="1" applyFont="1" applyFill="1" applyAlignment="1">
      <alignment vertical="center"/>
    </xf>
    <xf numFmtId="0" fontId="20" fillId="2" borderId="0" xfId="1" applyNumberFormat="1" applyFont="1" applyFill="1" applyAlignment="1">
      <alignment vertical="center"/>
    </xf>
    <xf numFmtId="0" fontId="13" fillId="2" borderId="0" xfId="0" applyNumberFormat="1" applyFont="1" applyFill="1" applyAlignment="1">
      <alignment vertical="center"/>
    </xf>
    <xf numFmtId="165" fontId="14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vertical="center"/>
    </xf>
    <xf numFmtId="165" fontId="13" fillId="2" borderId="0" xfId="0" applyNumberFormat="1" applyFont="1" applyFill="1" applyAlignment="1">
      <alignment vertical="center"/>
    </xf>
    <xf numFmtId="164" fontId="13" fillId="2" borderId="0" xfId="0" applyNumberFormat="1" applyFont="1" applyFill="1" applyAlignment="1">
      <alignment vertical="center"/>
    </xf>
    <xf numFmtId="164" fontId="26" fillId="11" borderId="0" xfId="0" applyNumberFormat="1" applyFont="1" applyFill="1" applyAlignment="1">
      <alignment horizontal="right" vertical="center"/>
    </xf>
    <xf numFmtId="164" fontId="24" fillId="2" borderId="0" xfId="0" applyNumberFormat="1" applyFont="1" applyFill="1"/>
    <xf numFmtId="165" fontId="24" fillId="2" borderId="0" xfId="0" applyNumberFormat="1" applyFont="1" applyFill="1" applyBorder="1" applyAlignment="1">
      <alignment horizontal="right" vertical="center"/>
    </xf>
    <xf numFmtId="165" fontId="24" fillId="2" borderId="0" xfId="0" applyNumberFormat="1" applyFont="1" applyFill="1" applyAlignment="1">
      <alignment horizontal="right" vertical="center"/>
    </xf>
    <xf numFmtId="164" fontId="0" fillId="2" borderId="0" xfId="0" applyNumberFormat="1" applyFill="1"/>
    <xf numFmtId="0" fontId="28" fillId="2" borderId="0" xfId="0" applyFont="1" applyFill="1" applyAlignment="1">
      <alignment vertical="center"/>
    </xf>
    <xf numFmtId="0" fontId="13" fillId="0" borderId="0" xfId="0" applyFont="1"/>
    <xf numFmtId="164" fontId="13" fillId="2" borderId="0" xfId="0" applyNumberFormat="1" applyFont="1" applyFill="1"/>
    <xf numFmtId="165" fontId="13" fillId="2" borderId="0" xfId="0" applyNumberFormat="1" applyFont="1" applyFill="1"/>
    <xf numFmtId="0" fontId="28" fillId="2" borderId="0" xfId="0" applyFont="1" applyFill="1"/>
    <xf numFmtId="0" fontId="13" fillId="2" borderId="0" xfId="0" applyFont="1" applyFill="1" applyBorder="1"/>
    <xf numFmtId="164" fontId="30" fillId="2" borderId="0" xfId="0" applyNumberFormat="1" applyFont="1" applyFill="1" applyBorder="1" applyAlignment="1">
      <alignment horizontal="right" vertical="center"/>
    </xf>
    <xf numFmtId="165" fontId="30" fillId="2" borderId="0" xfId="0" applyNumberFormat="1" applyFont="1" applyFill="1" applyBorder="1" applyAlignment="1">
      <alignment horizontal="right" vertical="center"/>
    </xf>
    <xf numFmtId="165" fontId="29" fillId="2" borderId="0" xfId="0" applyNumberFormat="1" applyFont="1" applyFill="1" applyBorder="1" applyAlignment="1">
      <alignment horizontal="right" vertical="center"/>
    </xf>
    <xf numFmtId="165" fontId="28" fillId="2" borderId="0" xfId="0" applyNumberFormat="1" applyFont="1" applyFill="1" applyAlignment="1">
      <alignment horizontal="right" vertical="center"/>
    </xf>
    <xf numFmtId="165" fontId="29" fillId="2" borderId="0" xfId="0" applyNumberFormat="1" applyFont="1" applyFill="1" applyAlignment="1">
      <alignment horizontal="right" vertical="center"/>
    </xf>
    <xf numFmtId="0" fontId="30" fillId="2" borderId="0" xfId="0" applyFont="1" applyFill="1" applyAlignment="1">
      <alignment vertical="center"/>
    </xf>
    <xf numFmtId="0" fontId="30" fillId="2" borderId="0" xfId="0" applyFont="1" applyFill="1"/>
    <xf numFmtId="0" fontId="31" fillId="2" borderId="0" xfId="0" applyFont="1" applyFill="1" applyAlignment="1">
      <alignment vertical="center"/>
    </xf>
    <xf numFmtId="3" fontId="0" fillId="0" borderId="0" xfId="0" applyNumberFormat="1" applyAlignment="1">
      <alignment horizontal="left" vertical="center"/>
    </xf>
    <xf numFmtId="0" fontId="18" fillId="3" borderId="0" xfId="0" applyFont="1" applyFill="1" applyAlignment="1">
      <alignment vertical="center"/>
    </xf>
    <xf numFmtId="0" fontId="18" fillId="3" borderId="0" xfId="0" applyFont="1" applyFill="1"/>
    <xf numFmtId="164" fontId="18" fillId="3" borderId="0" xfId="0" applyNumberFormat="1" applyFont="1" applyFill="1" applyBorder="1" applyAlignment="1">
      <alignment horizontal="right" vertical="center"/>
    </xf>
    <xf numFmtId="164" fontId="26" fillId="3" borderId="0" xfId="0" applyNumberFormat="1" applyFont="1" applyFill="1" applyBorder="1" applyAlignment="1">
      <alignment horizontal="right" vertical="center"/>
    </xf>
    <xf numFmtId="0" fontId="3" fillId="16" borderId="0" xfId="0" applyFont="1" applyFill="1" applyAlignment="1">
      <alignment horizontal="right" vertical="center"/>
    </xf>
    <xf numFmtId="0" fontId="3" fillId="17" borderId="0" xfId="0" applyFont="1" applyFill="1" applyAlignment="1">
      <alignment horizontal="left" vertical="center"/>
    </xf>
    <xf numFmtId="0" fontId="19" fillId="3" borderId="0" xfId="0" applyFont="1" applyFill="1" applyAlignment="1">
      <alignment vertical="center"/>
    </xf>
    <xf numFmtId="0" fontId="13" fillId="3" borderId="0" xfId="0" applyFont="1" applyFill="1" applyAlignment="1">
      <alignment vertical="center"/>
    </xf>
    <xf numFmtId="164" fontId="19" fillId="3" borderId="0" xfId="0" applyNumberFormat="1" applyFont="1" applyFill="1" applyAlignment="1">
      <alignment horizontal="right" vertical="center"/>
    </xf>
    <xf numFmtId="164" fontId="26" fillId="3" borderId="0" xfId="0" applyNumberFormat="1" applyFont="1" applyFill="1" applyAlignment="1">
      <alignment horizontal="right" vertical="center"/>
    </xf>
    <xf numFmtId="0" fontId="34" fillId="7" borderId="0" xfId="2" applyFont="1" applyFill="1" applyAlignment="1">
      <alignment horizontal="left" vertical="center"/>
    </xf>
    <xf numFmtId="0" fontId="25" fillId="2" borderId="0" xfId="2" applyFont="1" applyFill="1"/>
    <xf numFmtId="0" fontId="9" fillId="10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4" borderId="0" xfId="0" applyFont="1" applyFill="1" applyBorder="1" applyAlignment="1">
      <alignment horizontal="left" vertical="center" indent="1"/>
    </xf>
    <xf numFmtId="0" fontId="11" fillId="4" borderId="0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6" fillId="13" borderId="0" xfId="0" applyFont="1" applyFill="1" applyBorder="1" applyAlignment="1">
      <alignment horizontal="center" vertical="center"/>
    </xf>
    <xf numFmtId="0" fontId="16" fillId="16" borderId="0" xfId="0" applyFont="1" applyFill="1" applyBorder="1" applyAlignment="1">
      <alignment horizontal="center" vertical="center"/>
    </xf>
    <xf numFmtId="0" fontId="16" fillId="9" borderId="0" xfId="0" applyFont="1" applyFill="1" applyBorder="1" applyAlignment="1">
      <alignment horizontal="center" vertical="center"/>
    </xf>
    <xf numFmtId="0" fontId="27" fillId="0" borderId="0" xfId="0" applyFont="1" applyBorder="1" applyAlignment="1">
      <alignment horizontal="left" vertical="center"/>
    </xf>
    <xf numFmtId="0" fontId="23" fillId="18" borderId="0" xfId="0" applyFont="1" applyFill="1" applyBorder="1" applyAlignment="1">
      <alignment horizontal="left" vertical="center"/>
    </xf>
    <xf numFmtId="0" fontId="3" fillId="14" borderId="0" xfId="0" applyFont="1" applyFill="1" applyBorder="1" applyAlignment="1">
      <alignment horizontal="left" vertical="center" indent="1"/>
    </xf>
    <xf numFmtId="0" fontId="12" fillId="4" borderId="0" xfId="0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center" vertical="center"/>
    </xf>
    <xf numFmtId="0" fontId="3" fillId="9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left" vertical="center"/>
    </xf>
    <xf numFmtId="0" fontId="3" fillId="15" borderId="0" xfId="0" applyFont="1" applyFill="1" applyBorder="1" applyAlignment="1">
      <alignment horizontal="left"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2060"/>
  </sheetPr>
  <dimension ref="B2:C27"/>
  <sheetViews>
    <sheetView zoomScale="79" workbookViewId="0"/>
  </sheetViews>
  <sheetFormatPr defaultRowHeight="15" x14ac:dyDescent="0.25"/>
  <cols>
    <col min="1" max="1" width="3.28515625" style="1" customWidth="1"/>
    <col min="2" max="2" width="28" style="1" customWidth="1"/>
    <col min="3" max="3" width="71.85546875" style="1" customWidth="1"/>
    <col min="4" max="16384" width="9.140625" style="1"/>
  </cols>
  <sheetData>
    <row r="2" spans="2:3" ht="33" customHeight="1" x14ac:dyDescent="0.25">
      <c r="B2" s="86" t="s">
        <v>0</v>
      </c>
      <c r="C2" s="87"/>
    </row>
    <row r="3" spans="2:3" x14ac:dyDescent="0.25">
      <c r="B3" s="88" t="s">
        <v>44</v>
      </c>
      <c r="C3" s="89"/>
    </row>
    <row r="6" spans="2:3" x14ac:dyDescent="0.25">
      <c r="B6" s="90" t="s">
        <v>1</v>
      </c>
      <c r="C6" s="90"/>
    </row>
    <row r="7" spans="2:3" x14ac:dyDescent="0.25">
      <c r="B7" s="2" t="s">
        <v>2</v>
      </c>
      <c r="C7" s="8" t="s">
        <v>19</v>
      </c>
    </row>
    <row r="8" spans="2:3" x14ac:dyDescent="0.25">
      <c r="B8" s="3" t="s">
        <v>3</v>
      </c>
      <c r="C8" s="8" t="s">
        <v>20</v>
      </c>
    </row>
    <row r="9" spans="2:3" x14ac:dyDescent="0.25">
      <c r="B9" s="2" t="s">
        <v>4</v>
      </c>
      <c r="C9" s="9" t="s">
        <v>21</v>
      </c>
    </row>
    <row r="10" spans="2:3" x14ac:dyDescent="0.25">
      <c r="B10" s="3" t="s">
        <v>5</v>
      </c>
      <c r="C10" s="8" t="s">
        <v>22</v>
      </c>
    </row>
    <row r="11" spans="2:3" x14ac:dyDescent="0.25">
      <c r="B11" s="2" t="s">
        <v>6</v>
      </c>
      <c r="C11" s="10" t="s">
        <v>23</v>
      </c>
    </row>
    <row r="12" spans="2:3" x14ac:dyDescent="0.25">
      <c r="B12" s="3" t="s">
        <v>7</v>
      </c>
      <c r="C12" s="10" t="s">
        <v>24</v>
      </c>
    </row>
    <row r="13" spans="2:3" x14ac:dyDescent="0.25">
      <c r="B13" s="2" t="s">
        <v>8</v>
      </c>
      <c r="C13" s="73">
        <v>25723078</v>
      </c>
    </row>
    <row r="16" spans="2:3" x14ac:dyDescent="0.25">
      <c r="B16" s="90" t="s">
        <v>9</v>
      </c>
      <c r="C16" s="90"/>
    </row>
    <row r="17" spans="2:3" x14ac:dyDescent="0.25">
      <c r="B17" s="84" t="s">
        <v>10</v>
      </c>
      <c r="C17" s="85" t="s">
        <v>189</v>
      </c>
    </row>
    <row r="18" spans="2:3" x14ac:dyDescent="0.25">
      <c r="B18" s="84" t="s">
        <v>11</v>
      </c>
      <c r="C18" s="85" t="s">
        <v>188</v>
      </c>
    </row>
    <row r="19" spans="2:3" x14ac:dyDescent="0.25">
      <c r="B19" s="84" t="s">
        <v>12</v>
      </c>
      <c r="C19" s="85" t="s">
        <v>187</v>
      </c>
    </row>
    <row r="20" spans="2:3" x14ac:dyDescent="0.25">
      <c r="B20" s="84" t="s">
        <v>13</v>
      </c>
      <c r="C20" s="85" t="s">
        <v>186</v>
      </c>
    </row>
    <row r="23" spans="2:3" x14ac:dyDescent="0.25">
      <c r="B23" s="90" t="s">
        <v>14</v>
      </c>
      <c r="C23" s="90"/>
    </row>
    <row r="24" spans="2:3" x14ac:dyDescent="0.25">
      <c r="B24" s="4" t="s">
        <v>15</v>
      </c>
      <c r="C24" s="10" t="s">
        <v>25</v>
      </c>
    </row>
    <row r="25" spans="2:3" x14ac:dyDescent="0.25">
      <c r="B25" s="5" t="s">
        <v>16</v>
      </c>
      <c r="C25" s="10" t="s">
        <v>26</v>
      </c>
    </row>
    <row r="26" spans="2:3" x14ac:dyDescent="0.25">
      <c r="B26" s="6" t="s">
        <v>17</v>
      </c>
      <c r="C26" s="10" t="s">
        <v>27</v>
      </c>
    </row>
    <row r="27" spans="2:3" x14ac:dyDescent="0.25">
      <c r="B27" s="7" t="s">
        <v>18</v>
      </c>
      <c r="C27" s="10" t="s">
        <v>28</v>
      </c>
    </row>
  </sheetData>
  <mergeCells count="5">
    <mergeCell ref="B2:C2"/>
    <mergeCell ref="B3:C3"/>
    <mergeCell ref="B6:C6"/>
    <mergeCell ref="B16:C16"/>
    <mergeCell ref="B23:C23"/>
  </mergeCells>
  <hyperlinks>
    <hyperlink ref="B17" location="Assumptions!A1" display="  ▶  Assumptions"/>
    <hyperlink ref="B18" location="'Income Statement'!A1" display="  ▶  Income Statement"/>
    <hyperlink ref="B19" location="'Balance Sheet'!A1" display="  ▶  Balance Sheet"/>
    <hyperlink ref="B20" location="'Cash Flow Statement'!A1" display="  ▶  Cash Flow Statement"/>
    <hyperlink ref="C17" location="Assumptions!A1" display="Revenue growth, margins, CapEx, working capital drivers — change any blue cell to run scenarios"/>
    <hyperlink ref="C18" location="'Income Statement'!A1" display="Revenue → EBITDA → EBIT → Net Income  |  2021A–2028E  |  8 years"/>
    <hyperlink ref="C19" location="'Balance Sheet'!A1" display="Assets, Liabilities &amp; Equity  |  Confirms 2024A and 2025A aggregate totals"/>
    <hyperlink ref="C20" location="'Cash Flow Statement'!A1" display="Indirect method: Operating, Investing, Financing  |  2024–25 CFS confirmed from official report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5" tint="-0.249977111117893"/>
  </sheetPr>
  <dimension ref="B2:L56"/>
  <sheetViews>
    <sheetView zoomScale="78" zoomScaleNormal="83" workbookViewId="0"/>
  </sheetViews>
  <sheetFormatPr defaultRowHeight="15" x14ac:dyDescent="0.25"/>
  <cols>
    <col min="1" max="1" width="5" style="1" customWidth="1"/>
    <col min="2" max="2" width="30.42578125" style="1" bestFit="1" customWidth="1"/>
    <col min="3" max="3" width="4.7109375" style="1" customWidth="1"/>
    <col min="4" max="5" width="8.28515625" style="1" bestFit="1" customWidth="1"/>
    <col min="6" max="6" width="8.42578125" style="1" bestFit="1" customWidth="1"/>
    <col min="7" max="7" width="8.28515625" style="1" bestFit="1" customWidth="1"/>
    <col min="8" max="8" width="9.42578125" style="1" bestFit="1" customWidth="1"/>
    <col min="9" max="11" width="8.42578125" style="1" bestFit="1" customWidth="1"/>
    <col min="12" max="12" width="13.85546875" style="1" customWidth="1"/>
    <col min="13" max="16384" width="9.140625" style="1"/>
  </cols>
  <sheetData>
    <row r="2" spans="2:12" ht="18" x14ac:dyDescent="0.25">
      <c r="B2" s="91" t="s">
        <v>41</v>
      </c>
      <c r="C2" s="91"/>
      <c r="D2" s="91"/>
      <c r="E2" s="91"/>
      <c r="F2" s="91"/>
      <c r="G2" s="91"/>
      <c r="H2" s="91"/>
      <c r="I2" s="91"/>
      <c r="J2" s="91"/>
      <c r="K2" s="91"/>
      <c r="L2" s="91"/>
    </row>
    <row r="4" spans="2:12" x14ac:dyDescent="0.25">
      <c r="D4" s="93"/>
      <c r="E4" s="93"/>
      <c r="F4" s="93"/>
    </row>
    <row r="5" spans="2:12" x14ac:dyDescent="0.25">
      <c r="B5" s="8"/>
      <c r="C5" s="8"/>
      <c r="D5" s="78" t="s">
        <v>32</v>
      </c>
      <c r="E5" s="78" t="s">
        <v>33</v>
      </c>
      <c r="F5" s="78" t="s">
        <v>34</v>
      </c>
      <c r="G5" s="78" t="s">
        <v>35</v>
      </c>
      <c r="H5" s="78" t="s">
        <v>36</v>
      </c>
      <c r="I5" s="13" t="s">
        <v>37</v>
      </c>
      <c r="J5" s="13" t="s">
        <v>38</v>
      </c>
      <c r="K5" s="13" t="s">
        <v>39</v>
      </c>
      <c r="L5" s="79" t="s">
        <v>149</v>
      </c>
    </row>
    <row r="6" spans="2:12" x14ac:dyDescent="0.25">
      <c r="B6" s="92" t="s">
        <v>120</v>
      </c>
      <c r="C6" s="92"/>
      <c r="D6" s="92"/>
      <c r="E6" s="92"/>
      <c r="F6" s="92"/>
      <c r="G6" s="92"/>
      <c r="H6" s="92"/>
      <c r="I6" s="92"/>
      <c r="J6" s="92"/>
      <c r="K6" s="92"/>
      <c r="L6" s="92"/>
    </row>
    <row r="7" spans="2:12" x14ac:dyDescent="0.25">
      <c r="B7" s="8" t="s">
        <v>123</v>
      </c>
      <c r="C7" s="8"/>
      <c r="D7" s="42">
        <v>1473</v>
      </c>
      <c r="E7" s="43">
        <f>D10</f>
        <v>1815</v>
      </c>
      <c r="F7" s="43">
        <f t="shared" ref="F7:K7" si="0">E10</f>
        <v>2156</v>
      </c>
      <c r="G7" s="43">
        <f t="shared" si="0"/>
        <v>2406</v>
      </c>
      <c r="H7" s="43">
        <f t="shared" si="0"/>
        <v>2688</v>
      </c>
      <c r="I7" s="43">
        <f t="shared" si="0"/>
        <v>3033</v>
      </c>
      <c r="J7" s="43">
        <f t="shared" si="0"/>
        <v>3353</v>
      </c>
      <c r="K7" s="43">
        <f t="shared" si="0"/>
        <v>3653</v>
      </c>
      <c r="L7" s="72" t="s">
        <v>153</v>
      </c>
    </row>
    <row r="8" spans="2:12" x14ac:dyDescent="0.25">
      <c r="B8" s="8" t="s">
        <v>124</v>
      </c>
      <c r="C8" s="8"/>
      <c r="D8" s="42">
        <v>343</v>
      </c>
      <c r="E8" s="42">
        <v>344</v>
      </c>
      <c r="F8" s="42">
        <v>250</v>
      </c>
      <c r="G8" s="42">
        <v>283</v>
      </c>
      <c r="H8" s="42">
        <v>345</v>
      </c>
      <c r="I8" s="42">
        <v>320</v>
      </c>
      <c r="J8" s="42">
        <v>300</v>
      </c>
      <c r="K8" s="42">
        <v>280</v>
      </c>
      <c r="L8" s="72" t="s">
        <v>154</v>
      </c>
    </row>
    <row r="9" spans="2:12" x14ac:dyDescent="0.25">
      <c r="B9" s="8" t="s">
        <v>125</v>
      </c>
      <c r="C9" s="8"/>
      <c r="D9" s="44">
        <v>-1</v>
      </c>
      <c r="E9" s="44">
        <v>-3</v>
      </c>
      <c r="F9" s="44">
        <v>0</v>
      </c>
      <c r="G9" s="44">
        <v>-1</v>
      </c>
      <c r="H9" s="44">
        <v>0</v>
      </c>
      <c r="I9" s="44">
        <v>0</v>
      </c>
      <c r="J9" s="44">
        <v>0</v>
      </c>
      <c r="K9" s="44">
        <v>0</v>
      </c>
      <c r="L9" s="72" t="s">
        <v>155</v>
      </c>
    </row>
    <row r="10" spans="2:12" x14ac:dyDescent="0.25">
      <c r="B10" s="8" t="s">
        <v>126</v>
      </c>
      <c r="C10" s="8"/>
      <c r="D10" s="43">
        <f>D7+D8+D9</f>
        <v>1815</v>
      </c>
      <c r="E10" s="43">
        <f t="shared" ref="E10:K10" si="1">E7+E8+E9</f>
        <v>2156</v>
      </c>
      <c r="F10" s="43">
        <f t="shared" si="1"/>
        <v>2406</v>
      </c>
      <c r="G10" s="43">
        <f t="shared" si="1"/>
        <v>2688</v>
      </c>
      <c r="H10" s="43">
        <f t="shared" si="1"/>
        <v>3033</v>
      </c>
      <c r="I10" s="43">
        <f t="shared" si="1"/>
        <v>3353</v>
      </c>
      <c r="J10" s="43">
        <f t="shared" si="1"/>
        <v>3653</v>
      </c>
      <c r="K10" s="43">
        <f t="shared" si="1"/>
        <v>3933</v>
      </c>
      <c r="L10" s="72" t="s">
        <v>156</v>
      </c>
    </row>
    <row r="11" spans="2:12" x14ac:dyDescent="0.25">
      <c r="B11" s="8" t="s">
        <v>127</v>
      </c>
      <c r="C11" s="8"/>
      <c r="D11" s="43">
        <f>AVERAGE(D7,D10)</f>
        <v>1644</v>
      </c>
      <c r="E11" s="43">
        <f t="shared" ref="E11:K11" si="2">AVERAGE(E7,E10)</f>
        <v>1985.5</v>
      </c>
      <c r="F11" s="43">
        <f t="shared" si="2"/>
        <v>2281</v>
      </c>
      <c r="G11" s="43">
        <f t="shared" si="2"/>
        <v>2547</v>
      </c>
      <c r="H11" s="43">
        <f t="shared" si="2"/>
        <v>2860.5</v>
      </c>
      <c r="I11" s="43">
        <f t="shared" si="2"/>
        <v>3193</v>
      </c>
      <c r="J11" s="43">
        <f t="shared" si="2"/>
        <v>3503</v>
      </c>
      <c r="K11" s="43">
        <f t="shared" si="2"/>
        <v>3793</v>
      </c>
      <c r="L11" s="72" t="s">
        <v>157</v>
      </c>
    </row>
    <row r="12" spans="2:12" x14ac:dyDescent="0.25">
      <c r="B12" s="8" t="s">
        <v>128</v>
      </c>
      <c r="C12" s="8"/>
      <c r="D12" s="45">
        <v>0.124</v>
      </c>
      <c r="E12" s="45">
        <v>0.28499999999999998</v>
      </c>
      <c r="F12" s="45">
        <v>0.17199999999999999</v>
      </c>
      <c r="G12" s="45">
        <v>5.2999999999999999E-2</v>
      </c>
      <c r="H12" s="45">
        <v>4.3999999999999997E-2</v>
      </c>
      <c r="I12" s="46">
        <v>4.4999999999999998E-2</v>
      </c>
      <c r="J12" s="46">
        <v>0.04</v>
      </c>
      <c r="K12" s="46">
        <v>3.5000000000000003E-2</v>
      </c>
      <c r="L12" s="72" t="s">
        <v>158</v>
      </c>
    </row>
    <row r="13" spans="2:12" x14ac:dyDescent="0.25">
      <c r="B13" s="8" t="s">
        <v>129</v>
      </c>
      <c r="C13" s="8"/>
      <c r="D13" s="46">
        <v>0</v>
      </c>
      <c r="E13" s="47">
        <f>E11/D11-1</f>
        <v>0.20772506082725051</v>
      </c>
      <c r="F13" s="47">
        <f t="shared" ref="F13:H13" si="3">F11/E11-1</f>
        <v>0.14882901032485529</v>
      </c>
      <c r="G13" s="47">
        <f t="shared" si="3"/>
        <v>0.1166155195089873</v>
      </c>
      <c r="H13" s="47">
        <f t="shared" si="3"/>
        <v>0.12308598351001176</v>
      </c>
      <c r="I13" s="47">
        <f t="shared" ref="I13" si="4">I11/H11-1</f>
        <v>0.11623841985666838</v>
      </c>
      <c r="J13" s="47">
        <f t="shared" ref="J13" si="5">J11/I11-1</f>
        <v>9.7087378640776656E-2</v>
      </c>
      <c r="K13" s="47">
        <f t="shared" ref="K13" si="6">K11/J11-1</f>
        <v>8.2786183271481573E-2</v>
      </c>
      <c r="L13" s="72" t="s">
        <v>159</v>
      </c>
    </row>
    <row r="14" spans="2:12" x14ac:dyDescent="0.25">
      <c r="B14" s="8" t="s">
        <v>130</v>
      </c>
      <c r="C14" s="8"/>
      <c r="D14" s="46">
        <v>0</v>
      </c>
      <c r="E14" s="47">
        <f>'Income Statement'!E6/'Income Statement'!D6-1</f>
        <v>0.48193415781994497</v>
      </c>
      <c r="F14" s="47">
        <f>'Income Statement'!F6/'Income Statement'!E6-1</f>
        <v>0.29616932390690009</v>
      </c>
      <c r="G14" s="47">
        <f>'Income Statement'!G6/'Income Statement'!F6-1</f>
        <v>0.14055564397688713</v>
      </c>
      <c r="H14" s="47">
        <f>'Income Statement'!H6/'Income Statement'!G6-1</f>
        <v>0.14895108225131892</v>
      </c>
      <c r="I14" s="47">
        <f>'Income Statement'!I6/'Income Statement'!H6-1</f>
        <v>0.16646914875021834</v>
      </c>
      <c r="J14" s="47">
        <f>'Income Statement'!J6/'Income Statement'!I6-1</f>
        <v>0.14097087378640771</v>
      </c>
      <c r="K14" s="47">
        <f>'Income Statement'!K6/'Income Statement'!J6-1</f>
        <v>0.12068369968598325</v>
      </c>
      <c r="L14" s="72" t="s">
        <v>160</v>
      </c>
    </row>
    <row r="15" spans="2:12" x14ac:dyDescent="0.25">
      <c r="B15" s="8"/>
      <c r="C15" s="8"/>
      <c r="D15" s="48"/>
      <c r="E15" s="48"/>
      <c r="F15" s="48"/>
      <c r="G15" s="49"/>
      <c r="H15" s="49"/>
      <c r="I15" s="49"/>
      <c r="J15" s="49"/>
      <c r="K15" s="49"/>
      <c r="L15" s="49"/>
    </row>
    <row r="16" spans="2:12" x14ac:dyDescent="0.25">
      <c r="B16" s="92" t="s">
        <v>121</v>
      </c>
      <c r="C16" s="92"/>
      <c r="D16" s="92"/>
      <c r="E16" s="92"/>
      <c r="F16" s="92"/>
      <c r="G16" s="92"/>
      <c r="H16" s="92"/>
      <c r="I16" s="92"/>
      <c r="J16" s="92"/>
      <c r="K16" s="92"/>
      <c r="L16" s="92"/>
    </row>
    <row r="17" spans="2:12" x14ac:dyDescent="0.25">
      <c r="B17" s="8" t="s">
        <v>131</v>
      </c>
      <c r="C17" s="8"/>
      <c r="D17" s="50">
        <f>'Income Statement'!D9/'Income Statement'!D6</f>
        <v>0.24874023462933575</v>
      </c>
      <c r="E17" s="50">
        <f>'Income Statement'!E9/'Income Statement'!E6</f>
        <v>0.24053544704570162</v>
      </c>
      <c r="F17" s="50">
        <f>'Income Statement'!F9/'Income Statement'!F6</f>
        <v>0.23083991022453412</v>
      </c>
      <c r="G17" s="50">
        <f>'Income Statement'!G9/'Income Statement'!G6</f>
        <v>0.23265038571019428</v>
      </c>
      <c r="H17" s="50">
        <f>'Income Statement'!H9/'Income Statement'!H6</f>
        <v>0.23520962545364971</v>
      </c>
      <c r="I17" s="46">
        <v>0.23599999999999999</v>
      </c>
      <c r="J17" s="46">
        <v>0.23699999999999999</v>
      </c>
      <c r="K17" s="46">
        <v>0.23799999999999999</v>
      </c>
      <c r="L17" s="72" t="s">
        <v>161</v>
      </c>
    </row>
    <row r="18" spans="2:12" x14ac:dyDescent="0.25">
      <c r="B18" s="8" t="s">
        <v>132</v>
      </c>
      <c r="C18" s="8"/>
      <c r="D18" s="47">
        <f>'Income Statement'!D12/'Income Statement'!D6</f>
        <v>-0.16329599165155667</v>
      </c>
      <c r="E18" s="47">
        <f>'Income Statement'!E12/'Income Statement'!E6</f>
        <v>-0.15554589416967962</v>
      </c>
      <c r="F18" s="47">
        <f>'Income Statement'!F12/'Income Statement'!F6</f>
        <v>-0.15110973533146926</v>
      </c>
      <c r="G18" s="47">
        <f>'Income Statement'!G12/'Income Statement'!G6</f>
        <v>-0.15982613390161413</v>
      </c>
      <c r="H18" s="47">
        <f>'Income Statement'!H12/'Income Statement'!H6</f>
        <v>-0.16579164840026456</v>
      </c>
      <c r="I18" s="46">
        <v>0.16400000000000001</v>
      </c>
      <c r="J18" s="46">
        <v>0.16300000000000001</v>
      </c>
      <c r="K18" s="46">
        <v>0.16200000000000001</v>
      </c>
      <c r="L18" s="72" t="s">
        <v>162</v>
      </c>
    </row>
    <row r="19" spans="2:12" x14ac:dyDescent="0.25">
      <c r="B19" s="9" t="s">
        <v>133</v>
      </c>
      <c r="C19" s="51"/>
      <c r="D19" s="47">
        <f>'Income Statement'!D13/'Income Statement'!D6</f>
        <v>-8.7774954849613972E-3</v>
      </c>
      <c r="E19" s="47">
        <f>'Income Statement'!E13/'Income Statement'!E6</f>
        <v>-7.2325893303083963E-3</v>
      </c>
      <c r="F19" s="47">
        <f>'Income Statement'!F13/'Income Statement'!F6</f>
        <v>-6.7690436333621715E-3</v>
      </c>
      <c r="G19" s="47">
        <f>'Income Statement'!G13/'Income Statement'!G6</f>
        <v>-7.9816444688819276E-3</v>
      </c>
      <c r="H19" s="47">
        <f>'Income Statement'!H13/'Income Statement'!H6</f>
        <v>-9.0070346646139911E-3</v>
      </c>
      <c r="I19" s="46">
        <v>8.9999999999999993E-3</v>
      </c>
      <c r="J19" s="46">
        <v>8.9999999999999993E-3</v>
      </c>
      <c r="K19" s="46">
        <v>8.0000000000000002E-3</v>
      </c>
      <c r="L19" s="72" t="s">
        <v>163</v>
      </c>
    </row>
    <row r="20" spans="2:12" x14ac:dyDescent="0.25">
      <c r="B20" s="8" t="s">
        <v>134</v>
      </c>
      <c r="C20" s="8"/>
      <c r="D20" s="52">
        <f>D18+D19</f>
        <v>-0.17207348713651807</v>
      </c>
      <c r="E20" s="52">
        <f t="shared" ref="E20:K20" si="7">E18+E19</f>
        <v>-0.16277848349998802</v>
      </c>
      <c r="F20" s="52">
        <f t="shared" si="7"/>
        <v>-0.15787877896483143</v>
      </c>
      <c r="G20" s="52">
        <f t="shared" si="7"/>
        <v>-0.16780777837049604</v>
      </c>
      <c r="H20" s="52">
        <f t="shared" si="7"/>
        <v>-0.17479868306487856</v>
      </c>
      <c r="I20" s="52">
        <f t="shared" si="7"/>
        <v>0.17300000000000001</v>
      </c>
      <c r="J20" s="52">
        <f t="shared" si="7"/>
        <v>0.17200000000000001</v>
      </c>
      <c r="K20" s="52">
        <f t="shared" si="7"/>
        <v>0.17</v>
      </c>
      <c r="L20" s="72" t="s">
        <v>164</v>
      </c>
    </row>
    <row r="21" spans="2:12" x14ac:dyDescent="0.25">
      <c r="B21" s="8" t="s">
        <v>135</v>
      </c>
      <c r="C21" s="8"/>
      <c r="D21" s="52">
        <f>'Income Statement'!D11/'Income Statement'!D6</f>
        <v>1.0749878087222193E-3</v>
      </c>
      <c r="E21" s="52">
        <f>'Income Statement'!E11/'Income Statement'!E6</f>
        <v>8.2225587378650087E-4</v>
      </c>
      <c r="F21" s="52">
        <f>'Income Statement'!F11/'Income Statement'!F6</f>
        <v>5.250863439173343E-4</v>
      </c>
      <c r="G21" s="52">
        <f>'Income Statement'!G11/'Income Statement'!G6</f>
        <v>8.2616560232442722E-4</v>
      </c>
      <c r="H21" s="52">
        <f>'Income Statement'!H11/'Income Statement'!H6</f>
        <v>8.6908679584785174E-4</v>
      </c>
      <c r="I21" s="46">
        <v>1E-3</v>
      </c>
      <c r="J21" s="46">
        <v>1E-3</v>
      </c>
      <c r="K21" s="46">
        <v>1E-3</v>
      </c>
      <c r="L21" s="72" t="s">
        <v>165</v>
      </c>
    </row>
    <row r="22" spans="2:12" x14ac:dyDescent="0.25">
      <c r="B22" s="8" t="s">
        <v>136</v>
      </c>
      <c r="C22" s="8"/>
      <c r="D22" s="52">
        <f>'Income Statement'!D14/'Income Statement'!D6</f>
        <v>-1.1070937520487184E-3</v>
      </c>
      <c r="E22" s="52">
        <f>'Income Statement'!E14/'Income Statement'!E6</f>
        <v>-9.1795510488989237E-4</v>
      </c>
      <c r="F22" s="52">
        <f>'Income Statement'!F14/'Income Statement'!F6</f>
        <v>-3.9978563292541119E-4</v>
      </c>
      <c r="G22" s="52">
        <f>'Income Statement'!G14/'Income Statement'!G6</f>
        <v>-4.7974652549283672E-4</v>
      </c>
      <c r="H22" s="52">
        <f>'Income Statement'!H14/'Income Statement'!H6</f>
        <v>-5.8928193676933461E-4</v>
      </c>
      <c r="I22" s="46">
        <v>1E-3</v>
      </c>
      <c r="J22" s="46">
        <v>1E-3</v>
      </c>
      <c r="K22" s="46">
        <v>1E-3</v>
      </c>
      <c r="L22" s="72" t="s">
        <v>166</v>
      </c>
    </row>
    <row r="23" spans="2:12" x14ac:dyDescent="0.25">
      <c r="B23" s="8" t="s">
        <v>137</v>
      </c>
      <c r="C23" s="8"/>
      <c r="D23" s="47">
        <f>'Income Statement'!D15/'Income Statement'!D6</f>
        <v>7.6634641549491206E-2</v>
      </c>
      <c r="E23" s="47">
        <f>'Income Statement'!E15/'Income Statement'!E6</f>
        <v>7.7661264314610193E-2</v>
      </c>
      <c r="F23" s="47">
        <f>'Income Statement'!F15/'Income Statement'!F6</f>
        <v>7.3086431970694601E-2</v>
      </c>
      <c r="G23" s="47">
        <f>'Income Statement'!G15/'Income Statement'!G6</f>
        <v>6.5189026416529849E-2</v>
      </c>
      <c r="H23" s="47">
        <f>'Income Statement'!H15/'Income Statement'!H6</f>
        <v>6.0690747247849695E-2</v>
      </c>
      <c r="I23" s="47">
        <f>'Income Statement'!I15/'Income Statement'!I6</f>
        <v>6.3000000000000028E-2</v>
      </c>
      <c r="J23" s="47">
        <f>'Income Statement'!J15/'Income Statement'!J6</f>
        <v>6.5000000000000002E-2</v>
      </c>
      <c r="K23" s="47">
        <f>'Income Statement'!K15/'Income Statement'!K6</f>
        <v>6.8000000000000047E-2</v>
      </c>
      <c r="L23" s="72" t="s">
        <v>167</v>
      </c>
    </row>
    <row r="24" spans="2:12" x14ac:dyDescent="0.25">
      <c r="B24" s="9" t="s">
        <v>138</v>
      </c>
      <c r="C24" s="51"/>
      <c r="D24" s="47">
        <f>ABS('Income Statement'!D21)</f>
        <v>0.17692600947047707</v>
      </c>
      <c r="E24" s="47">
        <f>ABS('Income Statement'!E21)</f>
        <v>0.1922998991165924</v>
      </c>
      <c r="F24" s="47">
        <f>ABS('Income Statement'!F21)</f>
        <v>0.19186753621804953</v>
      </c>
      <c r="G24" s="47">
        <f>ABS('Income Statement'!G21)</f>
        <v>0.16048167808992492</v>
      </c>
      <c r="H24" s="47">
        <f>ABS('Income Statement'!H21)</f>
        <v>0.19093007407145968</v>
      </c>
      <c r="I24" s="46">
        <v>0.19</v>
      </c>
      <c r="J24" s="46">
        <v>0.19</v>
      </c>
      <c r="K24" s="46">
        <v>0.19</v>
      </c>
      <c r="L24" s="72" t="s">
        <v>185</v>
      </c>
    </row>
    <row r="25" spans="2:12" x14ac:dyDescent="0.25">
      <c r="B25" s="8"/>
      <c r="C25" s="8"/>
      <c r="D25" s="44"/>
      <c r="E25" s="44"/>
      <c r="F25" s="44"/>
      <c r="G25" s="49"/>
      <c r="H25" s="49"/>
      <c r="I25" s="49"/>
      <c r="J25" s="49"/>
      <c r="K25" s="49"/>
      <c r="L25" s="49"/>
    </row>
    <row r="26" spans="2:12" x14ac:dyDescent="0.25">
      <c r="B26" s="92" t="s">
        <v>118</v>
      </c>
      <c r="C26" s="92"/>
      <c r="D26" s="92"/>
      <c r="E26" s="92"/>
      <c r="F26" s="92"/>
      <c r="G26" s="92"/>
      <c r="H26" s="92"/>
      <c r="I26" s="92"/>
      <c r="J26" s="92"/>
      <c r="K26" s="92"/>
      <c r="L26" s="92"/>
    </row>
    <row r="27" spans="2:12" x14ac:dyDescent="0.25">
      <c r="B27" s="8" t="s">
        <v>139</v>
      </c>
      <c r="C27" s="8"/>
      <c r="D27" s="52">
        <f>'Income Statement'!D23/'Income Statement'!D6</f>
        <v>1.8510909883930653E-2</v>
      </c>
      <c r="E27" s="52">
        <f>'Income Statement'!E23/'Income Statement'!E6</f>
        <v>1.5156788671150272E-2</v>
      </c>
      <c r="F27" s="52">
        <f>'Income Statement'!F23/'Income Statement'!F6</f>
        <v>1.3902612593851343E-2</v>
      </c>
      <c r="G27" s="52">
        <f>'Income Statement'!G23/'Income Statement'!G6</f>
        <v>1.3977656191585976E-2</v>
      </c>
      <c r="H27" s="52">
        <f>'Income Statement'!H23/'Income Statement'!H6</f>
        <v>1.5015421080149033E-2</v>
      </c>
      <c r="I27" s="46">
        <v>1.6E-2</v>
      </c>
      <c r="J27" s="46">
        <v>1.4999999999999999E-2</v>
      </c>
      <c r="K27" s="46">
        <v>1.4999999999999999E-2</v>
      </c>
      <c r="L27" s="72" t="s">
        <v>168</v>
      </c>
    </row>
    <row r="28" spans="2:12" x14ac:dyDescent="0.25">
      <c r="B28" s="8" t="s">
        <v>140</v>
      </c>
      <c r="C28" s="8"/>
      <c r="D28" s="52">
        <f>'Cash Flow Statement'!D13/'Income Statement'!D6</f>
        <v>-9.9955306132040594E-2</v>
      </c>
      <c r="E28" s="52">
        <f>'Cash Flow Statement'!E13/'Income Statement'!E6</f>
        <v>-7.3019523350157878E-2</v>
      </c>
      <c r="F28" s="52">
        <f>'Cash Flow Statement'!F13/'Income Statement'!F6</f>
        <v>-4.5696693966455176E-2</v>
      </c>
      <c r="G28" s="52">
        <f>'Cash Flow Statement'!G13/'Income Statement'!G6</f>
        <v>-5.3355369881701697E-2</v>
      </c>
      <c r="H28" s="52">
        <f>'Cash Flow Statement'!H13/'Income Statement'!H6</f>
        <v>-6.2051298746765009E-2</v>
      </c>
      <c r="I28" s="46">
        <v>0.06</v>
      </c>
      <c r="J28" s="46">
        <v>5.8000000000000003E-2</v>
      </c>
      <c r="K28" s="46">
        <v>5.5E-2</v>
      </c>
      <c r="L28" s="72" t="s">
        <v>169</v>
      </c>
    </row>
    <row r="29" spans="2:12" x14ac:dyDescent="0.25">
      <c r="B29" s="8" t="s">
        <v>141</v>
      </c>
      <c r="C29" s="8"/>
      <c r="D29" s="52">
        <f>(('Balance Sheet'!E21+'Balance Sheet'!E27)/('Balance Sheet'!D21+'Balance Sheet'!D27))-1</f>
        <v>-0.29291652094374643</v>
      </c>
      <c r="E29" s="52">
        <f>(('Balance Sheet'!F21+'Balance Sheet'!F27)/('Balance Sheet'!E21+'Balance Sheet'!E27))-1</f>
        <v>-4.5447627744169217E-2</v>
      </c>
      <c r="F29" s="52">
        <f>(('Balance Sheet'!G21+'Balance Sheet'!G27)/('Balance Sheet'!F21+'Balance Sheet'!F27))-1</f>
        <v>0.56880642525459879</v>
      </c>
      <c r="G29" s="52">
        <f>(('Balance Sheet'!H21+'Balance Sheet'!H27)/('Balance Sheet'!G21+'Balance Sheet'!G27))-1</f>
        <v>0.40581569653700544</v>
      </c>
      <c r="H29" s="52">
        <f>(('Balance Sheet'!I21+'Balance Sheet'!I27)/('Balance Sheet'!H21+'Balance Sheet'!H27))-1</f>
        <v>6.4122787200780795E-2</v>
      </c>
      <c r="I29" s="46">
        <v>0.08</v>
      </c>
      <c r="J29" s="46">
        <v>7.0000000000000007E-2</v>
      </c>
      <c r="K29" s="46">
        <v>0.06</v>
      </c>
      <c r="L29" s="72" t="s">
        <v>170</v>
      </c>
    </row>
    <row r="30" spans="2:12" x14ac:dyDescent="0.25">
      <c r="B30" s="8"/>
      <c r="C30" s="8"/>
      <c r="D30" s="49"/>
      <c r="E30" s="49"/>
      <c r="F30" s="49"/>
      <c r="G30" s="49"/>
      <c r="H30" s="49"/>
      <c r="I30" s="49"/>
      <c r="J30" s="49"/>
      <c r="K30" s="49"/>
      <c r="L30" s="49"/>
    </row>
    <row r="31" spans="2:12" x14ac:dyDescent="0.25">
      <c r="B31" s="92" t="s">
        <v>117</v>
      </c>
      <c r="C31" s="92"/>
      <c r="D31" s="92"/>
      <c r="E31" s="92"/>
      <c r="F31" s="92"/>
      <c r="G31" s="92"/>
      <c r="H31" s="92"/>
      <c r="I31" s="92"/>
      <c r="J31" s="92"/>
      <c r="K31" s="92"/>
      <c r="L31" s="92"/>
    </row>
    <row r="32" spans="2:12" x14ac:dyDescent="0.25">
      <c r="B32" s="8" t="s">
        <v>151</v>
      </c>
      <c r="C32" s="8"/>
      <c r="D32" s="53">
        <f>'Balance Sheet'!D13/ABS('Income Statement'!D8)*365</f>
        <v>49.939919859275562</v>
      </c>
      <c r="E32" s="53">
        <f>'Balance Sheet'!E13/ABS('Income Statement'!E8)*365</f>
        <v>48.026580213756176</v>
      </c>
      <c r="F32" s="53">
        <f>'Balance Sheet'!F13/ABS('Income Statement'!F8)*365</f>
        <v>48.789886046416321</v>
      </c>
      <c r="G32" s="53">
        <f>'Balance Sheet'!G13/ABS('Income Statement'!G8)*365</f>
        <v>50.069687653598216</v>
      </c>
      <c r="H32" s="53">
        <f>'Balance Sheet'!H13/ABS('Income Statement'!H8)*365</f>
        <v>50.346093885031955</v>
      </c>
      <c r="I32" s="42">
        <v>50</v>
      </c>
      <c r="J32" s="42">
        <v>49</v>
      </c>
      <c r="K32" s="42">
        <v>48</v>
      </c>
      <c r="L32" s="72" t="s">
        <v>171</v>
      </c>
    </row>
    <row r="33" spans="2:12" x14ac:dyDescent="0.25">
      <c r="B33" s="8" t="s">
        <v>150</v>
      </c>
      <c r="C33" s="8"/>
      <c r="D33" s="53">
        <f>'Balance Sheet'!D14/'Income Statement'!D6*365</f>
        <v>3.9338671451574809</v>
      </c>
      <c r="E33" s="53">
        <f>'Balance Sheet'!E14/'Income Statement'!E6*365</f>
        <v>5.0666697909898497</v>
      </c>
      <c r="F33" s="53">
        <f>'Balance Sheet'!F14/'Income Statement'!F6*365</f>
        <v>4.6999291482142604</v>
      </c>
      <c r="G33" s="53">
        <f>'Balance Sheet'!G14/'Income Statement'!G6*365</f>
        <v>4.6941373362221066</v>
      </c>
      <c r="H33" s="53">
        <f>'Balance Sheet'!H14/'Income Statement'!H6*365</f>
        <v>4.0373801571646437</v>
      </c>
      <c r="I33" s="42">
        <v>4</v>
      </c>
      <c r="J33" s="42">
        <v>4</v>
      </c>
      <c r="K33" s="42">
        <v>4</v>
      </c>
      <c r="L33" s="72" t="s">
        <v>172</v>
      </c>
    </row>
    <row r="34" spans="2:12" x14ac:dyDescent="0.25">
      <c r="B34" s="9" t="s">
        <v>152</v>
      </c>
      <c r="C34" s="8"/>
      <c r="D34" s="53">
        <f>'Balance Sheet'!D25/ABS('Income Statement'!D8)*365</f>
        <v>89.230733023441516</v>
      </c>
      <c r="E34" s="53">
        <f>'Balance Sheet'!E25/ABS('Income Statement'!E8)*365</f>
        <v>67.81456189825802</v>
      </c>
      <c r="F34" s="53">
        <f>'Balance Sheet'!F25/ABS('Income Statement'!F8)*365</f>
        <v>60.549801309011656</v>
      </c>
      <c r="G34" s="53">
        <f>'Balance Sheet'!G25/ABS('Income Statement'!G8)*365</f>
        <v>70.877250394010517</v>
      </c>
      <c r="H34" s="53">
        <f>'Balance Sheet'!H25/ABS('Income Statement'!H8)*365</f>
        <v>73.708392712567289</v>
      </c>
      <c r="I34" s="42">
        <v>73</v>
      </c>
      <c r="J34" s="42">
        <v>72</v>
      </c>
      <c r="K34" s="42">
        <v>71</v>
      </c>
      <c r="L34" s="72" t="s">
        <v>173</v>
      </c>
    </row>
    <row r="35" spans="2:12" x14ac:dyDescent="0.25">
      <c r="B35" s="8" t="s">
        <v>142</v>
      </c>
      <c r="C35" s="8"/>
      <c r="D35" s="52">
        <f>'Balance Sheet'!D15/'Income Statement'!D6</f>
        <v>3.6741472766227122E-3</v>
      </c>
      <c r="E35" s="52">
        <f>'Balance Sheet'!E15/'Income Statement'!E6</f>
        <v>3.5521332545384414E-3</v>
      </c>
      <c r="F35" s="52">
        <f>'Balance Sheet'!F15/'Income Statement'!F6</f>
        <v>2.5490668584100019E-3</v>
      </c>
      <c r="G35" s="52">
        <f>'Balance Sheet'!G15/'Income Statement'!G6</f>
        <v>3.0904776531854843E-3</v>
      </c>
      <c r="H35" s="52">
        <f>'Balance Sheet'!H15/'Income Statement'!H6</f>
        <v>2.8863516862546422E-3</v>
      </c>
      <c r="I35" s="46">
        <v>3.0000000000000001E-3</v>
      </c>
      <c r="J35" s="46">
        <v>3.0000000000000001E-3</v>
      </c>
      <c r="K35" s="46">
        <v>3.0000000000000001E-3</v>
      </c>
      <c r="L35" s="72" t="s">
        <v>174</v>
      </c>
    </row>
    <row r="36" spans="2:12" x14ac:dyDescent="0.25">
      <c r="B36" s="8" t="s">
        <v>143</v>
      </c>
      <c r="C36" s="8"/>
      <c r="D36" s="52">
        <f>'Balance Sheet'!D29/'Income Statement'!D6</f>
        <v>1.1671445887041563E-2</v>
      </c>
      <c r="E36" s="52">
        <f>'Balance Sheet'!E29/'Income Statement'!E6</f>
        <v>1.0456365645198156E-2</v>
      </c>
      <c r="F36" s="52">
        <f>'Balance Sheet'!F29/'Income Statement'!F6</f>
        <v>1.1939723968300011E-2</v>
      </c>
      <c r="G36" s="52">
        <f>'Balance Sheet'!G29/'Income Statement'!G6</f>
        <v>1.4930214712190344E-2</v>
      </c>
      <c r="H36" s="52">
        <f>'Balance Sheet'!H29/'Income Statement'!H6</f>
        <v>1.5342618240297697E-2</v>
      </c>
      <c r="I36" s="46">
        <v>1.4999999999999999E-2</v>
      </c>
      <c r="J36" s="46">
        <v>1.4999999999999999E-2</v>
      </c>
      <c r="K36" s="46">
        <v>1.4E-2</v>
      </c>
      <c r="L36" s="72" t="s">
        <v>175</v>
      </c>
    </row>
    <row r="37" spans="2:12" x14ac:dyDescent="0.25">
      <c r="B37" s="8"/>
      <c r="C37" s="8"/>
      <c r="D37" s="49"/>
      <c r="E37" s="49"/>
      <c r="F37" s="49"/>
      <c r="G37" s="49"/>
      <c r="H37" s="49"/>
      <c r="I37" s="49"/>
      <c r="J37" s="49"/>
      <c r="K37" s="49"/>
      <c r="L37" s="49"/>
    </row>
    <row r="38" spans="2:12" x14ac:dyDescent="0.25">
      <c r="B38" s="92" t="s">
        <v>119</v>
      </c>
      <c r="C38" s="92"/>
      <c r="D38" s="92"/>
      <c r="E38" s="92"/>
      <c r="F38" s="92"/>
      <c r="G38" s="92"/>
      <c r="H38" s="92"/>
      <c r="I38" s="92"/>
      <c r="J38" s="92"/>
      <c r="K38" s="92"/>
      <c r="L38" s="92"/>
    </row>
    <row r="39" spans="2:12" x14ac:dyDescent="0.25">
      <c r="B39" s="8" t="s">
        <v>144</v>
      </c>
      <c r="C39" s="8"/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46">
        <v>0</v>
      </c>
      <c r="J39" s="46">
        <v>0</v>
      </c>
      <c r="K39" s="46">
        <v>0</v>
      </c>
      <c r="L39" s="72" t="s">
        <v>176</v>
      </c>
    </row>
    <row r="40" spans="2:12" x14ac:dyDescent="0.25">
      <c r="B40" s="9" t="s">
        <v>145</v>
      </c>
      <c r="C40" s="8"/>
      <c r="D40" s="52">
        <f>ABS('Income Statement'!D17/'Balance Sheet'!D16)</f>
        <v>2.6731005816800642E-3</v>
      </c>
      <c r="E40" s="52">
        <f>ABS('Income Statement'!E17/'Balance Sheet'!E16)</f>
        <v>1.3304835414064664E-2</v>
      </c>
      <c r="F40" s="52">
        <f>ABS('Income Statement'!F17/'Balance Sheet'!F16)</f>
        <v>4.7813763513730088E-2</v>
      </c>
      <c r="G40" s="52">
        <f>ABS('Income Statement'!G17/'Balance Sheet'!G16)</f>
        <v>7.4711959974052269E-3</v>
      </c>
      <c r="H40" s="52">
        <f>ABS('Income Statement'!H17/'Balance Sheet'!H16)</f>
        <v>8.7095497133473122E-3</v>
      </c>
      <c r="I40" s="46">
        <v>8.9999999999999993E-3</v>
      </c>
      <c r="J40" s="46">
        <v>8.9999999999999993E-3</v>
      </c>
      <c r="K40" s="46">
        <v>8.9999999999999993E-3</v>
      </c>
      <c r="L40" s="72" t="s">
        <v>177</v>
      </c>
    </row>
    <row r="41" spans="2:12" x14ac:dyDescent="0.25">
      <c r="B41" s="9" t="s">
        <v>146</v>
      </c>
      <c r="C41" s="8"/>
      <c r="D41" s="52">
        <f>ABS('Income Statement'!D18/(SUM('Balance Sheet'!D20:D23)+SUM('Balance Sheet'!D25:D29)))</f>
        <v>1.139558665323359E-2</v>
      </c>
      <c r="E41" s="52">
        <f>ABS('Income Statement'!E18/(((SUM('Balance Sheet'!D20:D23)+SUM('Balance Sheet'!D25:D29))+(SUM('Balance Sheet'!E20:E23)+SUM('Balance Sheet'!E25:E29)))/2))</f>
        <v>3.175973971457751E-2</v>
      </c>
      <c r="F41" s="52">
        <f>ABS('Income Statement'!F18/(((SUM('Balance Sheet'!E20:E23)+SUM('Balance Sheet'!E25:E29))+(SUM('Balance Sheet'!F20:F23)+SUM('Balance Sheet'!F25:F29)))/2))</f>
        <v>3.0781639168881533E-2</v>
      </c>
      <c r="G41" s="52">
        <f>ABS('Income Statement'!G18/(((SUM('Balance Sheet'!F20:F23)+SUM('Balance Sheet'!F25:F29))+(SUM('Balance Sheet'!G20:G23)+SUM('Balance Sheet'!G25:G29)))/2))</f>
        <v>2.2641557282073333E-2</v>
      </c>
      <c r="H41" s="52">
        <f>ABS('Income Statement'!H18/(((SUM('Balance Sheet'!G20:G23)+SUM('Balance Sheet'!G25:G29))+(SUM('Balance Sheet'!H20:H23)+SUM('Balance Sheet'!H25:H29)))/2))</f>
        <v>1.9744607290769916E-2</v>
      </c>
      <c r="I41" s="46">
        <v>5.5E-2</v>
      </c>
      <c r="J41" s="46">
        <v>5.5E-2</v>
      </c>
      <c r="K41" s="46">
        <v>5.5E-2</v>
      </c>
      <c r="L41" s="72" t="s">
        <v>178</v>
      </c>
    </row>
    <row r="42" spans="2:12" x14ac:dyDescent="0.25">
      <c r="B42" s="8" t="s">
        <v>147</v>
      </c>
      <c r="C42" s="8"/>
      <c r="D42" s="53">
        <v>0</v>
      </c>
      <c r="E42" s="53">
        <v>0</v>
      </c>
      <c r="F42" s="53">
        <v>250000</v>
      </c>
      <c r="G42" s="53">
        <v>0</v>
      </c>
      <c r="H42" s="53">
        <v>200000</v>
      </c>
      <c r="I42" s="42">
        <v>171882</v>
      </c>
      <c r="J42" s="42">
        <v>0</v>
      </c>
      <c r="K42" s="42">
        <v>0</v>
      </c>
      <c r="L42" s="72" t="s">
        <v>179</v>
      </c>
    </row>
    <row r="43" spans="2:12" x14ac:dyDescent="0.25">
      <c r="B43" s="8" t="s">
        <v>148</v>
      </c>
      <c r="C43" s="8"/>
      <c r="D43" s="53"/>
      <c r="E43" s="53"/>
      <c r="F43" s="53"/>
      <c r="G43" s="53"/>
      <c r="H43" s="53"/>
      <c r="I43" s="42">
        <v>500000</v>
      </c>
      <c r="J43" s="42">
        <v>500000</v>
      </c>
      <c r="K43" s="42">
        <v>500000</v>
      </c>
      <c r="L43" s="72" t="s">
        <v>180</v>
      </c>
    </row>
    <row r="44" spans="2:12" x14ac:dyDescent="0.25">
      <c r="B44" s="39"/>
      <c r="C44" s="39"/>
      <c r="D44" s="40"/>
      <c r="E44" s="38"/>
      <c r="F44" s="38"/>
      <c r="G44" s="38"/>
      <c r="H44" s="38"/>
      <c r="I44" s="38"/>
      <c r="J44" s="38"/>
      <c r="K44" s="38"/>
      <c r="L44" s="38"/>
    </row>
    <row r="45" spans="2:12" x14ac:dyDescent="0.25">
      <c r="B45" s="39"/>
      <c r="C45" s="39"/>
      <c r="D45" s="39"/>
    </row>
    <row r="46" spans="2:12" x14ac:dyDescent="0.25">
      <c r="B46" s="41"/>
      <c r="C46" s="41"/>
      <c r="D46" s="39"/>
    </row>
    <row r="47" spans="2:12" x14ac:dyDescent="0.25">
      <c r="B47" s="39"/>
      <c r="C47" s="39"/>
      <c r="D47" s="39"/>
    </row>
    <row r="48" spans="2:12" x14ac:dyDescent="0.25">
      <c r="B48" s="39"/>
      <c r="C48" s="39"/>
      <c r="D48" s="39"/>
    </row>
    <row r="49" spans="2:4" x14ac:dyDescent="0.25">
      <c r="B49" s="39"/>
      <c r="C49" s="39"/>
      <c r="D49" s="39"/>
    </row>
    <row r="50" spans="2:4" x14ac:dyDescent="0.25">
      <c r="B50" s="39"/>
      <c r="C50" s="39"/>
      <c r="D50" s="39"/>
    </row>
    <row r="51" spans="2:4" x14ac:dyDescent="0.25">
      <c r="B51" s="39"/>
      <c r="C51" s="39"/>
      <c r="D51" s="39"/>
    </row>
    <row r="52" spans="2:4" x14ac:dyDescent="0.25">
      <c r="B52" s="39"/>
      <c r="C52" s="39"/>
      <c r="D52" s="39"/>
    </row>
    <row r="53" spans="2:4" x14ac:dyDescent="0.25">
      <c r="B53" s="39"/>
      <c r="C53" s="39"/>
      <c r="D53" s="39"/>
    </row>
    <row r="54" spans="2:4" x14ac:dyDescent="0.25">
      <c r="B54" s="39"/>
      <c r="C54" s="39"/>
      <c r="D54" s="39"/>
    </row>
    <row r="55" spans="2:4" x14ac:dyDescent="0.25">
      <c r="B55" s="39"/>
      <c r="C55" s="39"/>
      <c r="D55" s="39"/>
    </row>
    <row r="56" spans="2:4" x14ac:dyDescent="0.25">
      <c r="B56" s="39"/>
      <c r="C56" s="39"/>
      <c r="D56" s="39"/>
    </row>
  </sheetData>
  <mergeCells count="7">
    <mergeCell ref="B2:L2"/>
    <mergeCell ref="B31:L31"/>
    <mergeCell ref="B38:L38"/>
    <mergeCell ref="D4:F4"/>
    <mergeCell ref="B6:L6"/>
    <mergeCell ref="B16:L16"/>
    <mergeCell ref="B26:L2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/>
  </sheetPr>
  <dimension ref="A2:K29"/>
  <sheetViews>
    <sheetView tabSelected="1" zoomScale="84" zoomScaleNormal="57" workbookViewId="0"/>
  </sheetViews>
  <sheetFormatPr defaultRowHeight="15" x14ac:dyDescent="0.25"/>
  <cols>
    <col min="1" max="1" width="4.140625" style="1" bestFit="1" customWidth="1"/>
    <col min="2" max="2" width="24.28515625" style="1" bestFit="1" customWidth="1"/>
    <col min="3" max="3" width="10.42578125" style="1" customWidth="1"/>
    <col min="4" max="4" width="13.7109375" style="1" bestFit="1" customWidth="1"/>
    <col min="5" max="5" width="13.42578125" style="1" bestFit="1" customWidth="1"/>
    <col min="6" max="6" width="12.7109375" style="1" bestFit="1" customWidth="1"/>
    <col min="7" max="7" width="14.140625" style="1" bestFit="1" customWidth="1"/>
    <col min="8" max="8" width="13.42578125" style="1" bestFit="1" customWidth="1"/>
    <col min="9" max="11" width="12.7109375" style="1" bestFit="1" customWidth="1"/>
    <col min="12" max="16384" width="9.140625" style="1"/>
  </cols>
  <sheetData>
    <row r="2" spans="1:11" ht="18" x14ac:dyDescent="0.25">
      <c r="B2" s="91" t="s">
        <v>29</v>
      </c>
      <c r="C2" s="91"/>
      <c r="D2" s="91"/>
      <c r="E2" s="91"/>
      <c r="F2" s="91"/>
      <c r="G2" s="91"/>
      <c r="H2" s="91"/>
      <c r="I2" s="91"/>
      <c r="J2" s="91"/>
      <c r="K2" s="91"/>
    </row>
    <row r="3" spans="1:11" x14ac:dyDescent="0.25">
      <c r="B3" s="96" t="s">
        <v>40</v>
      </c>
      <c r="C3" s="96"/>
      <c r="D3" s="96"/>
      <c r="E3" s="96"/>
      <c r="F3" s="96"/>
      <c r="G3" s="96"/>
      <c r="H3" s="96"/>
      <c r="I3" s="96"/>
      <c r="J3" s="96"/>
      <c r="K3" s="96"/>
    </row>
    <row r="4" spans="1:11" x14ac:dyDescent="0.25">
      <c r="B4" s="10"/>
      <c r="C4" s="10"/>
      <c r="D4" s="94" t="s">
        <v>30</v>
      </c>
      <c r="E4" s="94"/>
      <c r="F4" s="94"/>
      <c r="G4" s="94"/>
      <c r="H4" s="94"/>
      <c r="I4" s="95" t="s">
        <v>31</v>
      </c>
      <c r="J4" s="95"/>
      <c r="K4" s="95"/>
    </row>
    <row r="5" spans="1:11" x14ac:dyDescent="0.25">
      <c r="B5" s="10"/>
      <c r="C5" s="10"/>
      <c r="D5" s="78" t="s">
        <v>32</v>
      </c>
      <c r="E5" s="78" t="s">
        <v>33</v>
      </c>
      <c r="F5" s="78" t="s">
        <v>34</v>
      </c>
      <c r="G5" s="78" t="s">
        <v>35</v>
      </c>
      <c r="H5" s="78" t="s">
        <v>36</v>
      </c>
      <c r="I5" s="13" t="s">
        <v>37</v>
      </c>
      <c r="J5" s="13" t="s">
        <v>38</v>
      </c>
      <c r="K5" s="13" t="s">
        <v>39</v>
      </c>
    </row>
    <row r="6" spans="1:11" x14ac:dyDescent="0.25">
      <c r="B6" s="8" t="s">
        <v>47</v>
      </c>
      <c r="C6" s="10"/>
      <c r="D6" s="35">
        <v>13362012</v>
      </c>
      <c r="E6" s="35">
        <v>19801622</v>
      </c>
      <c r="F6" s="35">
        <v>25666255</v>
      </c>
      <c r="G6" s="35">
        <v>29273792</v>
      </c>
      <c r="H6" s="35">
        <v>33634155</v>
      </c>
      <c r="I6" s="31">
        <f>H6*(1+Assumptions!I12)*(Assumptions!I11/Assumptions!H11)</f>
        <v>39233204.1517829</v>
      </c>
      <c r="J6" s="31">
        <f>I6*(1+Assumptions!J12)*(Assumptions!J11/Assumptions!I11)</f>
        <v>44763943.222500257</v>
      </c>
      <c r="K6" s="31">
        <f>J6*(1+Assumptions!K12)*(Assumptions!K11/Assumptions!J11)</f>
        <v>50166221.503124885</v>
      </c>
    </row>
    <row r="7" spans="1:11" x14ac:dyDescent="0.25">
      <c r="B7" s="59" t="s">
        <v>60</v>
      </c>
      <c r="C7" s="63"/>
      <c r="D7" s="65" t="s">
        <v>61</v>
      </c>
      <c r="E7" s="66">
        <f t="shared" ref="E7:K7" si="0">(E6-D6)/D6</f>
        <v>0.48193415781994509</v>
      </c>
      <c r="F7" s="66">
        <f t="shared" si="0"/>
        <v>0.29616932390690015</v>
      </c>
      <c r="G7" s="66">
        <f t="shared" si="0"/>
        <v>0.14055564397688716</v>
      </c>
      <c r="H7" s="66">
        <f t="shared" si="0"/>
        <v>0.14895108225131887</v>
      </c>
      <c r="I7" s="67">
        <f t="shared" si="0"/>
        <v>0.16646914875021834</v>
      </c>
      <c r="J7" s="67">
        <f t="shared" si="0"/>
        <v>0.1409708737864078</v>
      </c>
      <c r="K7" s="67">
        <f t="shared" si="0"/>
        <v>0.12068369968598329</v>
      </c>
    </row>
    <row r="8" spans="1:11" x14ac:dyDescent="0.25">
      <c r="B8" s="8" t="s">
        <v>45</v>
      </c>
      <c r="C8" s="10"/>
      <c r="D8" s="35">
        <v>-10038342</v>
      </c>
      <c r="E8" s="35">
        <v>-15038630</v>
      </c>
      <c r="F8" s="35">
        <v>-19741459</v>
      </c>
      <c r="G8" s="35">
        <v>-22463233</v>
      </c>
      <c r="H8" s="35">
        <v>-25723078</v>
      </c>
      <c r="I8" s="31">
        <f>-I6*(1-Assumptions!I17)</f>
        <v>-29974167.971962135</v>
      </c>
      <c r="J8" s="31">
        <f>-J6*(1-Assumptions!J17)</f>
        <v>-34154888.678767696</v>
      </c>
      <c r="K8" s="31">
        <f>-K6*(1-Assumptions!K17)</f>
        <v>-38226660.785381161</v>
      </c>
    </row>
    <row r="9" spans="1:11" x14ac:dyDescent="0.25">
      <c r="B9" s="74" t="s">
        <v>46</v>
      </c>
      <c r="C9" s="75"/>
      <c r="D9" s="76">
        <f>D6+D8</f>
        <v>3323670</v>
      </c>
      <c r="E9" s="76">
        <f>E6+E8</f>
        <v>4762992</v>
      </c>
      <c r="F9" s="76">
        <f>F6+F8</f>
        <v>5924796</v>
      </c>
      <c r="G9" s="76">
        <f>G6+G8</f>
        <v>6810559</v>
      </c>
      <c r="H9" s="76">
        <f>H6+H8</f>
        <v>7911077</v>
      </c>
      <c r="I9" s="77">
        <f t="shared" ref="I9:K9" si="1">I6+I8</f>
        <v>9259036.1798207648</v>
      </c>
      <c r="J9" s="77">
        <f t="shared" si="1"/>
        <v>10609054.543732561</v>
      </c>
      <c r="K9" s="77">
        <f t="shared" si="1"/>
        <v>11939560.717743725</v>
      </c>
    </row>
    <row r="10" spans="1:11" x14ac:dyDescent="0.25">
      <c r="B10" s="59" t="s">
        <v>65</v>
      </c>
      <c r="C10" s="63"/>
      <c r="D10" s="68">
        <f>IF(D6=0,"-",D9/D6)</f>
        <v>0.24874023462933575</v>
      </c>
      <c r="E10" s="68">
        <f t="shared" ref="E10:K10" si="2">IF(E6=0,"-",E9/E6)</f>
        <v>0.24053544704570162</v>
      </c>
      <c r="F10" s="68">
        <f t="shared" si="2"/>
        <v>0.23083991022453412</v>
      </c>
      <c r="G10" s="68">
        <f t="shared" si="2"/>
        <v>0.23265038571019428</v>
      </c>
      <c r="H10" s="68">
        <f t="shared" si="2"/>
        <v>0.23520962545364971</v>
      </c>
      <c r="I10" s="69">
        <f t="shared" si="2"/>
        <v>0.23600000000000002</v>
      </c>
      <c r="J10" s="69">
        <f t="shared" si="2"/>
        <v>0.23700000000000002</v>
      </c>
      <c r="K10" s="69">
        <f t="shared" si="2"/>
        <v>0.23800000000000004</v>
      </c>
    </row>
    <row r="11" spans="1:11" x14ac:dyDescent="0.25">
      <c r="B11" s="8" t="s">
        <v>48</v>
      </c>
      <c r="C11" s="10"/>
      <c r="D11" s="35">
        <v>14364</v>
      </c>
      <c r="E11" s="35">
        <v>16282</v>
      </c>
      <c r="F11" s="35">
        <v>13477</v>
      </c>
      <c r="G11" s="35">
        <v>24185</v>
      </c>
      <c r="H11" s="35">
        <v>29231</v>
      </c>
      <c r="I11" s="31">
        <f>I6*Assumptions!I21</f>
        <v>39233.204151782898</v>
      </c>
      <c r="J11" s="31">
        <f>J6*Assumptions!J21</f>
        <v>44763.94322250026</v>
      </c>
      <c r="K11" s="31">
        <f>K6*Assumptions!K21</f>
        <v>50166.221503124885</v>
      </c>
    </row>
    <row r="12" spans="1:11" x14ac:dyDescent="0.25">
      <c r="A12"/>
      <c r="B12" s="8" t="s">
        <v>49</v>
      </c>
      <c r="C12" s="10"/>
      <c r="D12" s="35">
        <v>-2181963</v>
      </c>
      <c r="E12" s="35">
        <v>-3080061</v>
      </c>
      <c r="F12" s="35">
        <v>-3878421</v>
      </c>
      <c r="G12" s="35">
        <v>-4678717</v>
      </c>
      <c r="H12" s="35">
        <v>-5576262</v>
      </c>
      <c r="I12" s="31">
        <f>-I6*Assumptions!I18</f>
        <v>-6434245.4808923956</v>
      </c>
      <c r="J12" s="31">
        <f>-J6*Assumptions!J18</f>
        <v>-7296522.7452675421</v>
      </c>
      <c r="K12" s="31">
        <f>-K6*Assumptions!K18</f>
        <v>-8126927.8835062319</v>
      </c>
    </row>
    <row r="13" spans="1:11" x14ac:dyDescent="0.25">
      <c r="B13" s="8" t="s">
        <v>50</v>
      </c>
      <c r="C13" s="10"/>
      <c r="D13" s="35">
        <v>-117285</v>
      </c>
      <c r="E13" s="35">
        <v>-143217</v>
      </c>
      <c r="F13" s="35">
        <v>-173736</v>
      </c>
      <c r="G13" s="35">
        <v>-233653</v>
      </c>
      <c r="H13" s="35">
        <v>-302944</v>
      </c>
      <c r="I13" s="31">
        <f>-I6*Assumptions!I19</f>
        <v>-353098.83736604609</v>
      </c>
      <c r="J13" s="31">
        <f>-J6*Assumptions!J19</f>
        <v>-402875.48900250229</v>
      </c>
      <c r="K13" s="31">
        <f>-K6*Assumptions!K19</f>
        <v>-401329.77202499908</v>
      </c>
    </row>
    <row r="14" spans="1:11" x14ac:dyDescent="0.25">
      <c r="B14" s="8" t="s">
        <v>51</v>
      </c>
      <c r="C14" s="10"/>
      <c r="D14" s="35">
        <v>-14793</v>
      </c>
      <c r="E14" s="35">
        <v>-18177</v>
      </c>
      <c r="F14" s="35">
        <v>-10261</v>
      </c>
      <c r="G14" s="35">
        <v>-14044</v>
      </c>
      <c r="H14" s="35">
        <v>-19820</v>
      </c>
      <c r="I14" s="31">
        <f>-I6*Assumptions!I22</f>
        <v>-39233.204151782898</v>
      </c>
      <c r="J14" s="31">
        <f>-J6*Assumptions!J22</f>
        <v>-44763.94322250026</v>
      </c>
      <c r="K14" s="31">
        <f>-K6*Assumptions!K22</f>
        <v>-50166.221503124885</v>
      </c>
    </row>
    <row r="15" spans="1:11" x14ac:dyDescent="0.25">
      <c r="B15" s="74" t="s">
        <v>52</v>
      </c>
      <c r="C15" s="75"/>
      <c r="D15" s="76">
        <f>D9+D11+D12+D13+D14</f>
        <v>1023993</v>
      </c>
      <c r="E15" s="76">
        <f>E9+E11+E12+E13+E14</f>
        <v>1537819</v>
      </c>
      <c r="F15" s="76">
        <f>F9+F11+F12+F13+F14</f>
        <v>1875855</v>
      </c>
      <c r="G15" s="76">
        <f>G9+G11+G12+G13+G14</f>
        <v>1908330</v>
      </c>
      <c r="H15" s="76">
        <f>H9+H11+H12+H13+H14</f>
        <v>2041282</v>
      </c>
      <c r="I15" s="77">
        <f t="shared" ref="I15:K15" si="3">I9+I11+I12+I13+I14</f>
        <v>2471691.8615623238</v>
      </c>
      <c r="J15" s="77">
        <f t="shared" si="3"/>
        <v>2909656.3094625166</v>
      </c>
      <c r="K15" s="77">
        <f t="shared" si="3"/>
        <v>3411303.0622124942</v>
      </c>
    </row>
    <row r="16" spans="1:11" x14ac:dyDescent="0.25">
      <c r="B16" s="70" t="s">
        <v>63</v>
      </c>
      <c r="C16" s="71"/>
      <c r="D16" s="66">
        <f>IF(D6=0,"-",D15/D6)</f>
        <v>7.6634641549491206E-2</v>
      </c>
      <c r="E16" s="66">
        <f t="shared" ref="E16:K16" si="4">IF(E6=0,"-",E15/E6)</f>
        <v>7.7661264314610193E-2</v>
      </c>
      <c r="F16" s="66">
        <f t="shared" si="4"/>
        <v>7.3086431970694601E-2</v>
      </c>
      <c r="G16" s="66">
        <f t="shared" si="4"/>
        <v>6.5189026416529849E-2</v>
      </c>
      <c r="H16" s="66">
        <f t="shared" si="4"/>
        <v>6.0690747247849695E-2</v>
      </c>
      <c r="I16" s="67">
        <f t="shared" si="4"/>
        <v>6.3000000000000028E-2</v>
      </c>
      <c r="J16" s="67">
        <f t="shared" si="4"/>
        <v>6.5000000000000002E-2</v>
      </c>
      <c r="K16" s="67">
        <f t="shared" si="4"/>
        <v>6.8000000000000047E-2</v>
      </c>
    </row>
    <row r="17" spans="2:11" x14ac:dyDescent="0.25">
      <c r="B17" s="8" t="s">
        <v>53</v>
      </c>
      <c r="C17" s="10"/>
      <c r="D17" s="35">
        <v>1119</v>
      </c>
      <c r="E17" s="35">
        <v>5092</v>
      </c>
      <c r="F17" s="35">
        <v>10442</v>
      </c>
      <c r="G17" s="35">
        <v>6657</v>
      </c>
      <c r="H17" s="35">
        <v>8316</v>
      </c>
      <c r="I17" s="31">
        <f>'Balance Sheet'!H16*Assumptions!I40</f>
        <v>8593.3259999999991</v>
      </c>
      <c r="J17" s="31">
        <f>'Balance Sheet'!I16*Assumptions!J40</f>
        <v>4500</v>
      </c>
      <c r="K17" s="31">
        <f>'Balance Sheet'!J16*Assumptions!K40</f>
        <v>4500</v>
      </c>
    </row>
    <row r="18" spans="2:11" x14ac:dyDescent="0.25">
      <c r="B18" s="8" t="s">
        <v>54</v>
      </c>
      <c r="C18" s="10"/>
      <c r="D18" s="35">
        <v>-46703</v>
      </c>
      <c r="E18" s="35">
        <v>-141293</v>
      </c>
      <c r="F18" s="35">
        <v>-147316</v>
      </c>
      <c r="G18" s="35">
        <v>-121424</v>
      </c>
      <c r="H18" s="35">
        <v>-122945</v>
      </c>
      <c r="I18" s="31">
        <f>-(SUM('Balance Sheet'!H20:H23)+SUM('Balance Sheet'!H25:H29))*Assumptions!I41</f>
        <v>-357509.185</v>
      </c>
      <c r="J18" s="31">
        <f>-(SUM('Balance Sheet'!I20:I23)+SUM('Balance Sheet'!I25:I29))*Assumptions!J41</f>
        <v>-414408.64563310164</v>
      </c>
      <c r="K18" s="31">
        <f>-(SUM('Balance Sheet'!J20:J23)+SUM('Balance Sheet'!J25:J29))*Assumptions!K41</f>
        <v>-493413.82571436284</v>
      </c>
    </row>
    <row r="19" spans="2:11" x14ac:dyDescent="0.25">
      <c r="B19" s="74" t="s">
        <v>55</v>
      </c>
      <c r="C19" s="75"/>
      <c r="D19" s="76">
        <f t="shared" ref="D19:K19" si="5">D15+D17+D18</f>
        <v>978409</v>
      </c>
      <c r="E19" s="76">
        <f t="shared" si="5"/>
        <v>1401618</v>
      </c>
      <c r="F19" s="76">
        <f t="shared" si="5"/>
        <v>1738981</v>
      </c>
      <c r="G19" s="76">
        <f t="shared" si="5"/>
        <v>1793563</v>
      </c>
      <c r="H19" s="76">
        <f t="shared" si="5"/>
        <v>1926653</v>
      </c>
      <c r="I19" s="77">
        <f t="shared" si="5"/>
        <v>2122776.0025623236</v>
      </c>
      <c r="J19" s="77">
        <f t="shared" si="5"/>
        <v>2499747.6638294151</v>
      </c>
      <c r="K19" s="77">
        <f t="shared" si="5"/>
        <v>2922389.2364981314</v>
      </c>
    </row>
    <row r="20" spans="2:11" x14ac:dyDescent="0.25">
      <c r="B20" s="8" t="s">
        <v>56</v>
      </c>
      <c r="C20" s="10"/>
      <c r="D20" s="35">
        <v>-173106</v>
      </c>
      <c r="E20" s="35">
        <v>-269531</v>
      </c>
      <c r="F20" s="35">
        <v>-333654</v>
      </c>
      <c r="G20" s="35">
        <v>-287834</v>
      </c>
      <c r="H20" s="35">
        <v>-367856</v>
      </c>
      <c r="I20" s="31">
        <f>-MAX(0,I19)*Assumptions!I24</f>
        <v>-403327.44048684149</v>
      </c>
      <c r="J20" s="31">
        <f>-MAX(0,J19)*Assumptions!J24</f>
        <v>-474952.05612758885</v>
      </c>
      <c r="K20" s="31">
        <f>-MAX(0,K19)*Assumptions!K24</f>
        <v>-555253.95493464498</v>
      </c>
    </row>
    <row r="21" spans="2:11" x14ac:dyDescent="0.25">
      <c r="B21" s="8" t="s">
        <v>64</v>
      </c>
      <c r="C21" s="10"/>
      <c r="D21" s="36">
        <f>IF(D19=0,"-",D20/D19)</f>
        <v>-0.17692600947047707</v>
      </c>
      <c r="E21" s="36">
        <f t="shared" ref="E21:K21" si="6">IF(E19=0,"-",E20/E19)</f>
        <v>-0.1922998991165924</v>
      </c>
      <c r="F21" s="36">
        <f t="shared" si="6"/>
        <v>-0.19186753621804953</v>
      </c>
      <c r="G21" s="36">
        <f t="shared" si="6"/>
        <v>-0.16048167808992492</v>
      </c>
      <c r="H21" s="36">
        <f t="shared" si="6"/>
        <v>-0.19093007407145968</v>
      </c>
      <c r="I21" s="56">
        <f t="shared" si="6"/>
        <v>-0.19</v>
      </c>
      <c r="J21" s="56">
        <f t="shared" si="6"/>
        <v>-0.19</v>
      </c>
      <c r="K21" s="56">
        <f t="shared" si="6"/>
        <v>-0.19</v>
      </c>
    </row>
    <row r="22" spans="2:11" x14ac:dyDescent="0.25">
      <c r="B22" s="74" t="s">
        <v>57</v>
      </c>
      <c r="C22" s="75"/>
      <c r="D22" s="76">
        <f t="shared" ref="D22:H22" si="7">D19+D20</f>
        <v>805303</v>
      </c>
      <c r="E22" s="76">
        <f t="shared" si="7"/>
        <v>1132087</v>
      </c>
      <c r="F22" s="76">
        <f t="shared" si="7"/>
        <v>1405327</v>
      </c>
      <c r="G22" s="76">
        <f t="shared" si="7"/>
        <v>1505729</v>
      </c>
      <c r="H22" s="76">
        <f t="shared" si="7"/>
        <v>1558797</v>
      </c>
      <c r="I22" s="77">
        <f>SUM(I19:I20)</f>
        <v>1719448.5620754822</v>
      </c>
      <c r="J22" s="77">
        <f t="shared" ref="J22:K22" si="8">SUM(J19:J20)</f>
        <v>2024795.6077018264</v>
      </c>
      <c r="K22" s="77">
        <f t="shared" si="8"/>
        <v>2367135.2815634864</v>
      </c>
    </row>
    <row r="23" spans="2:11" x14ac:dyDescent="0.25">
      <c r="B23" s="8" t="s">
        <v>58</v>
      </c>
      <c r="C23" s="10"/>
      <c r="D23" s="35">
        <v>247343</v>
      </c>
      <c r="E23" s="35">
        <v>300129</v>
      </c>
      <c r="F23" s="35">
        <v>356828</v>
      </c>
      <c r="G23" s="35">
        <v>409179</v>
      </c>
      <c r="H23" s="35">
        <v>505031</v>
      </c>
      <c r="I23" s="31">
        <f>I6*Assumptions!I27</f>
        <v>627731.26642852637</v>
      </c>
      <c r="J23" s="31">
        <f>J6*Assumptions!J27</f>
        <v>671459.14833750378</v>
      </c>
      <c r="K23" s="31">
        <f>K6*Assumptions!K27</f>
        <v>752493.32254687324</v>
      </c>
    </row>
    <row r="24" spans="2:11" x14ac:dyDescent="0.25">
      <c r="B24" s="74" t="s">
        <v>59</v>
      </c>
      <c r="C24" s="75"/>
      <c r="D24" s="76">
        <f t="shared" ref="D24:K24" si="9">D15+D23</f>
        <v>1271336</v>
      </c>
      <c r="E24" s="76">
        <f t="shared" si="9"/>
        <v>1837948</v>
      </c>
      <c r="F24" s="76">
        <f t="shared" si="9"/>
        <v>2232683</v>
      </c>
      <c r="G24" s="76">
        <f t="shared" si="9"/>
        <v>2317509</v>
      </c>
      <c r="H24" s="76">
        <f t="shared" si="9"/>
        <v>2546313</v>
      </c>
      <c r="I24" s="77">
        <f t="shared" si="9"/>
        <v>3099423.1279908502</v>
      </c>
      <c r="J24" s="77">
        <f t="shared" si="9"/>
        <v>3581115.4578000205</v>
      </c>
      <c r="K24" s="77">
        <f t="shared" si="9"/>
        <v>4163796.3847593674</v>
      </c>
    </row>
    <row r="25" spans="2:11" x14ac:dyDescent="0.25">
      <c r="B25" s="14" t="s">
        <v>62</v>
      </c>
      <c r="C25" s="10"/>
      <c r="D25" s="37">
        <f>IF(D6=0,"-",D24/D6)</f>
        <v>9.5145551433421849E-2</v>
      </c>
      <c r="E25" s="37">
        <f t="shared" ref="E25:K25" si="10">IF(E6=0,"-",E24/E6)</f>
        <v>9.2818052985760457E-2</v>
      </c>
      <c r="F25" s="37">
        <f t="shared" si="10"/>
        <v>8.6989044564545939E-2</v>
      </c>
      <c r="G25" s="37">
        <f t="shared" si="10"/>
        <v>7.9166682608115824E-2</v>
      </c>
      <c r="H25" s="37">
        <f t="shared" si="10"/>
        <v>7.570616832799873E-2</v>
      </c>
      <c r="I25" s="57">
        <f t="shared" si="10"/>
        <v>7.9000000000000029E-2</v>
      </c>
      <c r="J25" s="57">
        <f t="shared" si="10"/>
        <v>0.08</v>
      </c>
      <c r="K25" s="57">
        <f t="shared" si="10"/>
        <v>8.3000000000000046E-2</v>
      </c>
    </row>
    <row r="29" spans="2:11" x14ac:dyDescent="0.25">
      <c r="D29" s="34"/>
      <c r="E29" s="34"/>
      <c r="F29" s="11"/>
      <c r="G29" s="34"/>
      <c r="H29" s="34"/>
      <c r="I29" s="34"/>
      <c r="J29" s="34"/>
      <c r="K29" s="34"/>
    </row>
  </sheetData>
  <mergeCells count="4">
    <mergeCell ref="D4:H4"/>
    <mergeCell ref="I4:K4"/>
    <mergeCell ref="B2:K2"/>
    <mergeCell ref="B3:K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/>
  </sheetPr>
  <dimension ref="B2:K44"/>
  <sheetViews>
    <sheetView zoomScale="75" workbookViewId="0"/>
  </sheetViews>
  <sheetFormatPr defaultRowHeight="15" x14ac:dyDescent="0.25"/>
  <cols>
    <col min="1" max="1" width="3.5703125" style="1" customWidth="1"/>
    <col min="2" max="2" width="40.28515625" style="1" bestFit="1" customWidth="1"/>
    <col min="3" max="3" width="23.85546875" style="1" customWidth="1"/>
    <col min="4" max="5" width="10.140625" style="1" bestFit="1" customWidth="1"/>
    <col min="6" max="8" width="11.28515625" style="1" bestFit="1" customWidth="1"/>
    <col min="9" max="9" width="10.85546875" style="1" customWidth="1"/>
    <col min="10" max="10" width="9.85546875" style="1" customWidth="1"/>
    <col min="11" max="11" width="9" style="1" customWidth="1"/>
    <col min="12" max="16384" width="9.140625" style="1"/>
  </cols>
  <sheetData>
    <row r="2" spans="2:11" ht="16.5" x14ac:dyDescent="0.25">
      <c r="B2" s="99" t="s">
        <v>42</v>
      </c>
      <c r="C2" s="99"/>
      <c r="D2" s="99"/>
      <c r="E2" s="99"/>
      <c r="F2" s="99"/>
      <c r="G2" s="99"/>
      <c r="H2" s="99"/>
      <c r="I2" s="99"/>
      <c r="J2" s="99"/>
      <c r="K2" s="99"/>
    </row>
    <row r="3" spans="2:11" x14ac:dyDescent="0.25">
      <c r="B3" s="96" t="s">
        <v>40</v>
      </c>
      <c r="C3" s="96"/>
      <c r="D3" s="96"/>
      <c r="E3" s="96"/>
      <c r="F3" s="96"/>
      <c r="G3" s="96"/>
      <c r="H3" s="96"/>
      <c r="I3" s="96"/>
      <c r="J3" s="96"/>
      <c r="K3" s="96"/>
    </row>
    <row r="4" spans="2:11" x14ac:dyDescent="0.25">
      <c r="B4" s="10"/>
      <c r="C4" s="10"/>
      <c r="D4" s="100" t="s">
        <v>30</v>
      </c>
      <c r="E4" s="100"/>
      <c r="F4" s="100"/>
      <c r="G4" s="100"/>
      <c r="H4" s="100"/>
      <c r="I4" s="101" t="s">
        <v>31</v>
      </c>
      <c r="J4" s="101"/>
      <c r="K4" s="101"/>
    </row>
    <row r="5" spans="2:11" x14ac:dyDescent="0.25">
      <c r="B5" s="10"/>
      <c r="C5" s="10"/>
      <c r="D5" s="12" t="s">
        <v>32</v>
      </c>
      <c r="E5" s="12" t="s">
        <v>33</v>
      </c>
      <c r="F5" s="12" t="s">
        <v>34</v>
      </c>
      <c r="G5" s="12" t="s">
        <v>35</v>
      </c>
      <c r="H5" s="12" t="s">
        <v>36</v>
      </c>
      <c r="I5" s="13" t="s">
        <v>37</v>
      </c>
      <c r="J5" s="13" t="s">
        <v>38</v>
      </c>
      <c r="K5" s="13" t="s">
        <v>39</v>
      </c>
    </row>
    <row r="6" spans="2:11" x14ac:dyDescent="0.25">
      <c r="B6" s="10"/>
      <c r="C6" s="10"/>
      <c r="D6" s="15"/>
      <c r="E6" s="15"/>
      <c r="F6" s="15"/>
      <c r="G6" s="15"/>
      <c r="H6" s="15"/>
      <c r="I6" s="16"/>
      <c r="J6" s="16"/>
      <c r="K6" s="16"/>
    </row>
    <row r="7" spans="2:11" x14ac:dyDescent="0.25">
      <c r="B7" s="97" t="s">
        <v>78</v>
      </c>
      <c r="C7" s="97"/>
      <c r="D7" s="97"/>
      <c r="E7" s="97"/>
      <c r="F7" s="97"/>
      <c r="G7" s="97"/>
      <c r="H7" s="97"/>
      <c r="I7" s="97"/>
      <c r="J7" s="97"/>
      <c r="K7" s="97"/>
    </row>
    <row r="8" spans="2:11" x14ac:dyDescent="0.25">
      <c r="B8" s="17" t="s">
        <v>66</v>
      </c>
      <c r="C8" s="8"/>
      <c r="D8" s="22">
        <v>4911353</v>
      </c>
      <c r="E8" s="22">
        <v>6070032</v>
      </c>
      <c r="F8" s="22">
        <v>6874672</v>
      </c>
      <c r="G8" s="22">
        <v>8230915</v>
      </c>
      <c r="H8" s="22">
        <v>9774681</v>
      </c>
      <c r="I8" s="31">
        <f>H8+ABS('Cash Flow Statement'!I13)-'Income Statement'!I23</f>
        <v>11500941.982678447</v>
      </c>
      <c r="J8" s="31">
        <f>I8+ABS('Cash Flow Statement'!J13)-'Income Statement'!J23</f>
        <v>13425791.541245958</v>
      </c>
      <c r="K8" s="31">
        <f>J8+ABS('Cash Flow Statement'!K13)-'Income Statement'!K23</f>
        <v>15432440.401370954</v>
      </c>
    </row>
    <row r="9" spans="2:11" x14ac:dyDescent="0.25">
      <c r="B9" s="17" t="s">
        <v>67</v>
      </c>
      <c r="C9" s="8"/>
      <c r="D9" s="22">
        <v>139931</v>
      </c>
      <c r="E9" s="22">
        <v>105116</v>
      </c>
      <c r="F9" s="22">
        <v>93499</v>
      </c>
      <c r="G9" s="22">
        <v>141350</v>
      </c>
      <c r="H9" s="22">
        <v>217006</v>
      </c>
      <c r="I9" s="31">
        <f>'Balance Sheet'!H21+'Balance Sheet'!H27</f>
        <v>110663</v>
      </c>
      <c r="J9" s="31">
        <f>'Balance Sheet'!I21+'Balance Sheet'!I27</f>
        <v>117759.02</v>
      </c>
      <c r="K9" s="31">
        <f>'Balance Sheet'!J21+'Balance Sheet'!J27</f>
        <v>124884.68668</v>
      </c>
    </row>
    <row r="10" spans="2:11" x14ac:dyDescent="0.25">
      <c r="B10" s="17" t="s">
        <v>68</v>
      </c>
      <c r="C10" s="8"/>
      <c r="D10" s="22">
        <v>96947</v>
      </c>
      <c r="E10" s="22">
        <v>94737</v>
      </c>
      <c r="F10" s="22">
        <v>115056</v>
      </c>
      <c r="G10" s="22">
        <v>169964</v>
      </c>
      <c r="H10" s="22">
        <v>176185</v>
      </c>
      <c r="I10" s="31">
        <f>H10</f>
        <v>176185</v>
      </c>
      <c r="J10" s="31">
        <f t="shared" ref="J10:K10" si="0">I10</f>
        <v>176185</v>
      </c>
      <c r="K10" s="31">
        <f t="shared" si="0"/>
        <v>176185</v>
      </c>
    </row>
    <row r="11" spans="2:11" x14ac:dyDescent="0.25">
      <c r="B11" s="17" t="s">
        <v>69</v>
      </c>
      <c r="C11" s="8"/>
      <c r="D11" s="22">
        <v>35116</v>
      </c>
      <c r="E11" s="22">
        <v>26468</v>
      </c>
      <c r="F11" s="22">
        <v>41323</v>
      </c>
      <c r="G11" s="22">
        <v>74149</v>
      </c>
      <c r="H11" s="22">
        <v>31376</v>
      </c>
      <c r="I11" s="31">
        <f>H11</f>
        <v>31376</v>
      </c>
      <c r="J11" s="31">
        <f t="shared" ref="J11:K11" si="1">I11</f>
        <v>31376</v>
      </c>
      <c r="K11" s="31">
        <f t="shared" si="1"/>
        <v>31376</v>
      </c>
    </row>
    <row r="12" spans="2:11" x14ac:dyDescent="0.25">
      <c r="B12" s="80" t="s">
        <v>77</v>
      </c>
      <c r="C12" s="81"/>
      <c r="D12" s="82">
        <f>SUM(D8:D11)</f>
        <v>5183347</v>
      </c>
      <c r="E12" s="82">
        <f t="shared" ref="E12:K12" si="2">SUM(E8:E11)</f>
        <v>6296353</v>
      </c>
      <c r="F12" s="82">
        <f t="shared" si="2"/>
        <v>7124550</v>
      </c>
      <c r="G12" s="82">
        <f t="shared" si="2"/>
        <v>8616378</v>
      </c>
      <c r="H12" s="82">
        <f t="shared" si="2"/>
        <v>10199248</v>
      </c>
      <c r="I12" s="83">
        <f t="shared" si="2"/>
        <v>11819165.982678447</v>
      </c>
      <c r="J12" s="83">
        <f t="shared" si="2"/>
        <v>13751111.561245957</v>
      </c>
      <c r="K12" s="83">
        <f t="shared" si="2"/>
        <v>15764886.088050954</v>
      </c>
    </row>
    <row r="13" spans="2:11" x14ac:dyDescent="0.25">
      <c r="B13" s="17" t="s">
        <v>70</v>
      </c>
      <c r="C13" s="8"/>
      <c r="D13" s="22">
        <v>1373463</v>
      </c>
      <c r="E13" s="22">
        <v>1978778</v>
      </c>
      <c r="F13" s="22">
        <v>2638859</v>
      </c>
      <c r="G13" s="22">
        <v>3081444</v>
      </c>
      <c r="H13" s="22">
        <v>3548100</v>
      </c>
      <c r="I13" s="31">
        <f>ABS('Income Statement'!I8)/365*Assumptions!I32</f>
        <v>4106050.4071181007</v>
      </c>
      <c r="J13" s="31">
        <f>ABS('Income Statement'!J8)/365*Assumptions!J32</f>
        <v>4585176.8363277186</v>
      </c>
      <c r="K13" s="31">
        <f>ABS('Income Statement'!K8)/365*Assumptions!K32</f>
        <v>5027067.7197213583</v>
      </c>
    </row>
    <row r="14" spans="2:11" x14ac:dyDescent="0.25">
      <c r="B14" s="17" t="s">
        <v>71</v>
      </c>
      <c r="C14" s="8"/>
      <c r="D14" s="22">
        <v>144012</v>
      </c>
      <c r="E14" s="22">
        <v>274872</v>
      </c>
      <c r="F14" s="22">
        <v>330492</v>
      </c>
      <c r="G14" s="22">
        <v>376480</v>
      </c>
      <c r="H14" s="22">
        <v>372038</v>
      </c>
      <c r="I14" s="31">
        <f>'Income Statement'!I6/365*Assumptions!I33</f>
        <v>429952.92221131944</v>
      </c>
      <c r="J14" s="31">
        <f>'Income Statement'!J6/365*Assumptions!J33</f>
        <v>490563.76134246856</v>
      </c>
      <c r="K14" s="31">
        <f>'Income Statement'!K6/365*Assumptions!K33</f>
        <v>549766.81099314941</v>
      </c>
    </row>
    <row r="15" spans="2:11" x14ac:dyDescent="0.25">
      <c r="B15" s="17" t="s">
        <v>122</v>
      </c>
      <c r="C15" s="8"/>
      <c r="D15" s="22">
        <v>49094</v>
      </c>
      <c r="E15" s="22">
        <v>70338</v>
      </c>
      <c r="F15" s="22">
        <v>65425</v>
      </c>
      <c r="G15" s="22">
        <v>90470</v>
      </c>
      <c r="H15" s="22">
        <v>97080</v>
      </c>
      <c r="I15" s="31">
        <f>'Income Statement'!I6*Assumptions!I35</f>
        <v>117699.6124553487</v>
      </c>
      <c r="J15" s="31">
        <f>'Income Statement'!J6*Assumptions!J35</f>
        <v>134291.82966750077</v>
      </c>
      <c r="K15" s="31">
        <f>'Income Statement'!K6*Assumptions!K35</f>
        <v>150498.66450937465</v>
      </c>
    </row>
    <row r="16" spans="2:11" x14ac:dyDescent="0.25">
      <c r="B16" s="17" t="s">
        <v>72</v>
      </c>
      <c r="C16" s="8"/>
      <c r="D16" s="22">
        <v>418615</v>
      </c>
      <c r="E16" s="22">
        <v>382718</v>
      </c>
      <c r="F16" s="22">
        <v>218389</v>
      </c>
      <c r="G16" s="22">
        <v>891022</v>
      </c>
      <c r="H16" s="22">
        <v>954814</v>
      </c>
      <c r="I16" s="31">
        <f>'Cash Flow Statement'!I26</f>
        <v>500000</v>
      </c>
      <c r="J16" s="31">
        <f>'Cash Flow Statement'!J26</f>
        <v>500000</v>
      </c>
      <c r="K16" s="31">
        <f>'Cash Flow Statement'!K26</f>
        <v>499999.99999999994</v>
      </c>
    </row>
    <row r="17" spans="2:11" x14ac:dyDescent="0.25">
      <c r="B17" s="20" t="s">
        <v>79</v>
      </c>
      <c r="C17" s="18"/>
      <c r="D17" s="23">
        <f>SUM(D13:D16)</f>
        <v>1985184</v>
      </c>
      <c r="E17" s="23">
        <f t="shared" ref="E17:K17" si="3">SUM(E13:E16)</f>
        <v>2706706</v>
      </c>
      <c r="F17" s="23">
        <f t="shared" si="3"/>
        <v>3253165</v>
      </c>
      <c r="G17" s="23">
        <f t="shared" si="3"/>
        <v>4439416</v>
      </c>
      <c r="H17" s="23">
        <f t="shared" si="3"/>
        <v>4972032</v>
      </c>
      <c r="I17" s="54">
        <f t="shared" si="3"/>
        <v>5153702.9417847684</v>
      </c>
      <c r="J17" s="54">
        <f t="shared" si="3"/>
        <v>5710032.4273376884</v>
      </c>
      <c r="K17" s="54">
        <f t="shared" si="3"/>
        <v>6227333.1952238828</v>
      </c>
    </row>
    <row r="18" spans="2:11" x14ac:dyDescent="0.25">
      <c r="B18" s="21" t="s">
        <v>73</v>
      </c>
      <c r="C18" s="18"/>
      <c r="D18" s="23">
        <f t="shared" ref="D18:K18" si="4">D12+D17</f>
        <v>7168531</v>
      </c>
      <c r="E18" s="23">
        <f t="shared" si="4"/>
        <v>9003059</v>
      </c>
      <c r="F18" s="23">
        <f t="shared" si="4"/>
        <v>10377715</v>
      </c>
      <c r="G18" s="23">
        <f t="shared" si="4"/>
        <v>13055794</v>
      </c>
      <c r="H18" s="23">
        <f t="shared" si="4"/>
        <v>15171280</v>
      </c>
      <c r="I18" s="54">
        <f t="shared" si="4"/>
        <v>16972868.924463216</v>
      </c>
      <c r="J18" s="54">
        <f t="shared" si="4"/>
        <v>19461143.988583647</v>
      </c>
      <c r="K18" s="54">
        <f t="shared" si="4"/>
        <v>21992219.283274837</v>
      </c>
    </row>
    <row r="19" spans="2:11" x14ac:dyDescent="0.25">
      <c r="B19" s="98" t="s">
        <v>84</v>
      </c>
      <c r="C19" s="98"/>
      <c r="D19" s="98"/>
      <c r="E19" s="98"/>
      <c r="F19" s="98"/>
      <c r="G19" s="98"/>
      <c r="H19" s="98"/>
      <c r="I19" s="98"/>
      <c r="J19" s="98"/>
      <c r="K19" s="98"/>
    </row>
    <row r="20" spans="2:11" x14ac:dyDescent="0.25">
      <c r="B20" s="10" t="s">
        <v>102</v>
      </c>
      <c r="C20" s="8"/>
      <c r="D20" s="22">
        <v>583014</v>
      </c>
      <c r="E20" s="22">
        <v>690862</v>
      </c>
      <c r="F20" s="22">
        <v>469629</v>
      </c>
      <c r="G20" s="22">
        <v>272219</v>
      </c>
      <c r="H20" s="22">
        <v>312861</v>
      </c>
      <c r="I20" s="31">
        <f>H20</f>
        <v>312861</v>
      </c>
      <c r="J20" s="31">
        <f t="shared" ref="J20:K20" si="5">I20</f>
        <v>312861</v>
      </c>
      <c r="K20" s="31">
        <f t="shared" si="5"/>
        <v>312861</v>
      </c>
    </row>
    <row r="21" spans="2:11" x14ac:dyDescent="0.25">
      <c r="B21" s="10" t="s">
        <v>103</v>
      </c>
      <c r="C21" s="8"/>
      <c r="D21" s="22">
        <v>46621</v>
      </c>
      <c r="E21" s="22">
        <v>34673</v>
      </c>
      <c r="F21" s="22">
        <v>35612</v>
      </c>
      <c r="G21" s="22">
        <v>60818</v>
      </c>
      <c r="H21" s="22">
        <v>87851</v>
      </c>
      <c r="I21" s="31">
        <f>H21*(1+Assumptions!I28)</f>
        <v>93122.06</v>
      </c>
      <c r="J21" s="31">
        <f>I21*(1+Assumptions!J28)</f>
        <v>98523.139479999998</v>
      </c>
      <c r="K21" s="31">
        <f>J21*(1+Assumptions!K28)</f>
        <v>103941.91215139999</v>
      </c>
    </row>
    <row r="22" spans="2:11" x14ac:dyDescent="0.25">
      <c r="B22" s="10" t="s">
        <v>104</v>
      </c>
      <c r="C22" s="8"/>
      <c r="D22" s="22">
        <v>450000</v>
      </c>
      <c r="E22" s="22">
        <v>370000</v>
      </c>
      <c r="F22" s="22">
        <v>370000</v>
      </c>
      <c r="G22" s="22">
        <v>170000</v>
      </c>
      <c r="H22" s="22">
        <v>0</v>
      </c>
      <c r="I22" s="31">
        <f>H22</f>
        <v>0</v>
      </c>
      <c r="J22" s="31">
        <f t="shared" ref="J22:K22" si="6">I22</f>
        <v>0</v>
      </c>
      <c r="K22" s="31">
        <f t="shared" si="6"/>
        <v>0</v>
      </c>
    </row>
    <row r="23" spans="2:11" x14ac:dyDescent="0.25">
      <c r="B23" s="17" t="s">
        <v>105</v>
      </c>
      <c r="C23" s="8"/>
      <c r="D23" s="22">
        <v>13169</v>
      </c>
      <c r="E23" s="22">
        <v>13614</v>
      </c>
      <c r="F23" s="22">
        <v>17870</v>
      </c>
      <c r="G23" s="22">
        <v>67474</v>
      </c>
      <c r="H23" s="22">
        <v>34260</v>
      </c>
      <c r="I23" s="31">
        <f>H23</f>
        <v>34260</v>
      </c>
      <c r="J23" s="31">
        <f t="shared" ref="J23:K23" si="7">I23</f>
        <v>34260</v>
      </c>
      <c r="K23" s="31">
        <f t="shared" si="7"/>
        <v>34260</v>
      </c>
    </row>
    <row r="24" spans="2:11" x14ac:dyDescent="0.25">
      <c r="B24" s="20" t="s">
        <v>85</v>
      </c>
      <c r="C24" s="19"/>
      <c r="D24" s="23">
        <f>D20+D21+D22+D23</f>
        <v>1092804</v>
      </c>
      <c r="E24" s="23">
        <f t="shared" ref="E24:K24" si="8">E20+E21+E22+E23</f>
        <v>1109149</v>
      </c>
      <c r="F24" s="23">
        <f t="shared" si="8"/>
        <v>893111</v>
      </c>
      <c r="G24" s="23">
        <f t="shared" si="8"/>
        <v>570511</v>
      </c>
      <c r="H24" s="23">
        <f t="shared" si="8"/>
        <v>434972</v>
      </c>
      <c r="I24" s="54">
        <f t="shared" si="8"/>
        <v>440243.06</v>
      </c>
      <c r="J24" s="54">
        <f t="shared" si="8"/>
        <v>445644.13948000001</v>
      </c>
      <c r="K24" s="54">
        <f t="shared" si="8"/>
        <v>451062.9121514</v>
      </c>
    </row>
    <row r="25" spans="2:11" x14ac:dyDescent="0.25">
      <c r="B25" s="17" t="s">
        <v>88</v>
      </c>
      <c r="C25" s="8"/>
      <c r="D25" s="22">
        <v>2454051</v>
      </c>
      <c r="E25" s="22">
        <v>2794077</v>
      </c>
      <c r="F25" s="22">
        <v>3274908</v>
      </c>
      <c r="G25" s="22">
        <v>4362006</v>
      </c>
      <c r="H25" s="22">
        <v>5194539</v>
      </c>
      <c r="I25" s="31">
        <f>ABS('Income Statement'!I8)/365*Assumptions!I34</f>
        <v>5994833.5943924272</v>
      </c>
      <c r="J25" s="31">
        <f>ABS('Income Statement'!J8)/365*Assumptions!J34</f>
        <v>6737402.6982774641</v>
      </c>
      <c r="K25" s="31">
        <f>ABS('Income Statement'!K8)/365*Assumptions!K34</f>
        <v>7435871.0020878427</v>
      </c>
    </row>
    <row r="26" spans="2:11" x14ac:dyDescent="0.25">
      <c r="B26" s="17" t="s">
        <v>106</v>
      </c>
      <c r="C26" s="8"/>
      <c r="D26" s="22">
        <v>196169</v>
      </c>
      <c r="E26" s="22">
        <v>410157</v>
      </c>
      <c r="F26" s="22">
        <v>278588</v>
      </c>
      <c r="G26" s="22">
        <v>361034</v>
      </c>
      <c r="H26" s="22">
        <v>159926</v>
      </c>
      <c r="I26" s="31">
        <f>H26+'Cash Flow Statement'!I19</f>
        <v>486490.97120540478</v>
      </c>
      <c r="J26" s="31">
        <f>I26+'Cash Flow Statement'!J19</f>
        <v>1090292.9342389023</v>
      </c>
      <c r="K26" s="31">
        <f>J26+'Cash Flow Statement'!K19</f>
        <v>1655042.1005069902</v>
      </c>
    </row>
    <row r="27" spans="2:11" x14ac:dyDescent="0.25">
      <c r="B27" s="17" t="s">
        <v>107</v>
      </c>
      <c r="C27" s="8"/>
      <c r="D27" s="22">
        <v>27721</v>
      </c>
      <c r="E27" s="22">
        <v>17893</v>
      </c>
      <c r="F27" s="22">
        <v>14565</v>
      </c>
      <c r="G27" s="22">
        <v>17900</v>
      </c>
      <c r="H27" s="22">
        <v>22812</v>
      </c>
      <c r="I27" s="31">
        <f>H27*(1+Assumptions!I29)</f>
        <v>24636.960000000003</v>
      </c>
      <c r="J27" s="31">
        <f>I27*(1+Assumptions!J29)</f>
        <v>26361.547200000005</v>
      </c>
      <c r="K27" s="31">
        <f>J27*(1+Assumptions!K29)</f>
        <v>27943.240032000005</v>
      </c>
    </row>
    <row r="28" spans="2:11" x14ac:dyDescent="0.25">
      <c r="B28" s="17" t="s">
        <v>108</v>
      </c>
      <c r="C28" s="8"/>
      <c r="D28" s="22">
        <v>171642</v>
      </c>
      <c r="E28" s="22">
        <v>260947</v>
      </c>
      <c r="F28" s="22">
        <v>4784</v>
      </c>
      <c r="G28" s="22">
        <v>204845</v>
      </c>
      <c r="H28" s="22">
        <v>171882</v>
      </c>
      <c r="I28" s="31">
        <f>MAX(0,H28-Assumptions!I42)</f>
        <v>0</v>
      </c>
      <c r="J28" s="31">
        <f>MAX(0,I28-Assumptions!J42)</f>
        <v>0</v>
      </c>
      <c r="K28" s="31">
        <f>MAX(0,J28-Assumptions!K42)</f>
        <v>0</v>
      </c>
    </row>
    <row r="29" spans="2:11" x14ac:dyDescent="0.25">
      <c r="B29" s="10" t="s">
        <v>109</v>
      </c>
      <c r="C29" s="10"/>
      <c r="D29" s="24">
        <v>155954</v>
      </c>
      <c r="E29" s="24">
        <v>207053</v>
      </c>
      <c r="F29" s="24">
        <v>306448</v>
      </c>
      <c r="G29" s="24">
        <v>437064</v>
      </c>
      <c r="H29" s="24">
        <v>516036</v>
      </c>
      <c r="I29" s="55">
        <f>'Income Statement'!I6*Assumptions!I36</f>
        <v>588498.06227674347</v>
      </c>
      <c r="J29" s="55">
        <f>'Income Statement'!J6*Assumptions!J36</f>
        <v>671459.14833750378</v>
      </c>
      <c r="K29" s="55">
        <f>'Income Statement'!K6*Assumptions!K36</f>
        <v>702327.10104374844</v>
      </c>
    </row>
    <row r="30" spans="2:11" x14ac:dyDescent="0.25">
      <c r="B30" s="20" t="s">
        <v>89</v>
      </c>
      <c r="C30" s="19"/>
      <c r="D30" s="23">
        <f>SUM(D25:D29)</f>
        <v>3005537</v>
      </c>
      <c r="E30" s="23">
        <f t="shared" ref="E30:K30" si="9">SUM(E25:E29)</f>
        <v>3690127</v>
      </c>
      <c r="F30" s="23">
        <f t="shared" si="9"/>
        <v>3879293</v>
      </c>
      <c r="G30" s="23">
        <f t="shared" si="9"/>
        <v>5382849</v>
      </c>
      <c r="H30" s="23">
        <f t="shared" si="9"/>
        <v>6065195</v>
      </c>
      <c r="I30" s="54">
        <f t="shared" si="9"/>
        <v>7094459.5878745755</v>
      </c>
      <c r="J30" s="54">
        <f t="shared" si="9"/>
        <v>8525516.3280538693</v>
      </c>
      <c r="K30" s="54">
        <f t="shared" si="9"/>
        <v>9821183.443670582</v>
      </c>
    </row>
    <row r="31" spans="2:11" x14ac:dyDescent="0.25">
      <c r="B31" s="20" t="s">
        <v>75</v>
      </c>
      <c r="C31" s="19"/>
      <c r="D31" s="23">
        <f t="shared" ref="D31:K31" si="10">D24+D30</f>
        <v>4098341</v>
      </c>
      <c r="E31" s="23">
        <f t="shared" si="10"/>
        <v>4799276</v>
      </c>
      <c r="F31" s="23">
        <f t="shared" si="10"/>
        <v>4772404</v>
      </c>
      <c r="G31" s="23">
        <f t="shared" si="10"/>
        <v>5953360</v>
      </c>
      <c r="H31" s="23">
        <f t="shared" si="10"/>
        <v>6500167</v>
      </c>
      <c r="I31" s="54">
        <f t="shared" si="10"/>
        <v>7534702.6478745751</v>
      </c>
      <c r="J31" s="54">
        <f t="shared" si="10"/>
        <v>8971160.4675338697</v>
      </c>
      <c r="K31" s="54">
        <f t="shared" si="10"/>
        <v>10272246.355821982</v>
      </c>
    </row>
    <row r="32" spans="2:11" x14ac:dyDescent="0.25">
      <c r="B32" s="10" t="s">
        <v>86</v>
      </c>
      <c r="C32" s="10"/>
      <c r="D32" s="24">
        <v>3070190</v>
      </c>
      <c r="E32" s="24">
        <v>4203783</v>
      </c>
      <c r="F32" s="24">
        <v>5605311</v>
      </c>
      <c r="G32" s="24">
        <v>7085151</v>
      </c>
      <c r="H32" s="24">
        <v>8653393</v>
      </c>
      <c r="I32" s="55">
        <f>SUM(I33:I36)</f>
        <v>9420446.2765886411</v>
      </c>
      <c r="J32" s="55">
        <f t="shared" ref="J32:K32" si="11">SUM(J33:J36)</f>
        <v>10472263.521049777</v>
      </c>
      <c r="K32" s="55">
        <f t="shared" si="11"/>
        <v>11702252.927452855</v>
      </c>
    </row>
    <row r="33" spans="2:11" x14ac:dyDescent="0.25">
      <c r="B33" s="64" t="s">
        <v>80</v>
      </c>
      <c r="C33" s="8"/>
      <c r="D33" s="22">
        <v>9804</v>
      </c>
      <c r="E33" s="22">
        <v>9804</v>
      </c>
      <c r="F33" s="22">
        <v>9804</v>
      </c>
      <c r="G33" s="22">
        <v>9804</v>
      </c>
      <c r="H33" s="22">
        <v>9804</v>
      </c>
      <c r="I33" s="31">
        <v>9804</v>
      </c>
      <c r="J33" s="31">
        <v>9804</v>
      </c>
      <c r="K33" s="31">
        <v>9804</v>
      </c>
    </row>
    <row r="34" spans="2:11" x14ac:dyDescent="0.25">
      <c r="B34" s="64" t="s">
        <v>81</v>
      </c>
      <c r="C34" s="8"/>
      <c r="D34" s="22">
        <v>2707720</v>
      </c>
      <c r="E34" s="22">
        <v>3512022</v>
      </c>
      <c r="F34" s="22">
        <v>4652148</v>
      </c>
      <c r="G34" s="22">
        <v>6058912</v>
      </c>
      <c r="H34" s="22">
        <v>7569927</v>
      </c>
      <c r="I34" s="31">
        <f>H34</f>
        <v>7569927</v>
      </c>
      <c r="J34" s="31">
        <f t="shared" ref="J34:K34" si="12">I34</f>
        <v>7569927</v>
      </c>
      <c r="K34" s="31">
        <f t="shared" si="12"/>
        <v>7569927</v>
      </c>
    </row>
    <row r="35" spans="2:11" x14ac:dyDescent="0.25">
      <c r="B35" s="64" t="s">
        <v>82</v>
      </c>
      <c r="C35" s="8"/>
      <c r="D35" s="22">
        <v>345166</v>
      </c>
      <c r="E35" s="22">
        <v>674457</v>
      </c>
      <c r="F35" s="22">
        <v>935859</v>
      </c>
      <c r="G35" s="22">
        <v>1031871</v>
      </c>
      <c r="H35" s="22">
        <v>1077742</v>
      </c>
      <c r="I35" s="31">
        <f>I18-I31-I33-I34-I36-I37</f>
        <v>1844795.2765886411</v>
      </c>
      <c r="J35" s="31">
        <f t="shared" ref="J35:K35" si="13">J18-J31-J33-J34-J36-J37</f>
        <v>2896612.521049777</v>
      </c>
      <c r="K35" s="31">
        <f t="shared" si="13"/>
        <v>4126601.9274528548</v>
      </c>
    </row>
    <row r="36" spans="2:11" x14ac:dyDescent="0.25">
      <c r="B36" s="64" t="s">
        <v>83</v>
      </c>
      <c r="C36" s="8"/>
      <c r="D36" s="22">
        <v>7500</v>
      </c>
      <c r="E36" s="22">
        <v>7500</v>
      </c>
      <c r="F36" s="22">
        <v>7500</v>
      </c>
      <c r="G36" s="22">
        <v>-15436</v>
      </c>
      <c r="H36" s="22">
        <v>-4080</v>
      </c>
      <c r="I36" s="31">
        <f>H36</f>
        <v>-4080</v>
      </c>
      <c r="J36" s="31">
        <f t="shared" ref="J36:K36" si="14">I36</f>
        <v>-4080</v>
      </c>
      <c r="K36" s="31">
        <f t="shared" si="14"/>
        <v>-4080</v>
      </c>
    </row>
    <row r="37" spans="2:11" x14ac:dyDescent="0.25">
      <c r="B37" s="64" t="s">
        <v>87</v>
      </c>
      <c r="C37" s="8"/>
      <c r="D37" s="22">
        <v>0</v>
      </c>
      <c r="E37" s="22">
        <v>0</v>
      </c>
      <c r="F37" s="22">
        <v>0</v>
      </c>
      <c r="G37" s="22">
        <v>17283</v>
      </c>
      <c r="H37" s="22">
        <v>17720</v>
      </c>
      <c r="I37" s="31">
        <f>H37</f>
        <v>17720</v>
      </c>
      <c r="J37" s="31">
        <f t="shared" ref="J37:K37" si="15">I37</f>
        <v>17720</v>
      </c>
      <c r="K37" s="31">
        <f t="shared" si="15"/>
        <v>17720</v>
      </c>
    </row>
    <row r="38" spans="2:11" x14ac:dyDescent="0.25">
      <c r="B38" s="21" t="s">
        <v>74</v>
      </c>
      <c r="C38" s="19"/>
      <c r="D38" s="32">
        <f>SUM(D33:D37)</f>
        <v>3070190</v>
      </c>
      <c r="E38" s="32">
        <f t="shared" ref="E38:K38" si="16">SUM(E33:E37)</f>
        <v>4203783</v>
      </c>
      <c r="F38" s="32">
        <f t="shared" si="16"/>
        <v>5605311</v>
      </c>
      <c r="G38" s="32">
        <f t="shared" si="16"/>
        <v>7102434</v>
      </c>
      <c r="H38" s="32">
        <f t="shared" si="16"/>
        <v>8671113</v>
      </c>
      <c r="I38" s="32">
        <f t="shared" si="16"/>
        <v>9438166.2765886411</v>
      </c>
      <c r="J38" s="32">
        <f t="shared" si="16"/>
        <v>10489983.521049777</v>
      </c>
      <c r="K38" s="32">
        <f t="shared" si="16"/>
        <v>11719972.927452855</v>
      </c>
    </row>
    <row r="39" spans="2:11" x14ac:dyDescent="0.25">
      <c r="B39" s="21" t="s">
        <v>76</v>
      </c>
      <c r="C39" s="19"/>
      <c r="D39" s="23">
        <f>D31+D38</f>
        <v>7168531</v>
      </c>
      <c r="E39" s="23">
        <f t="shared" ref="E39:K39" si="17">E31+E38</f>
        <v>9003059</v>
      </c>
      <c r="F39" s="23">
        <f t="shared" si="17"/>
        <v>10377715</v>
      </c>
      <c r="G39" s="23">
        <f t="shared" si="17"/>
        <v>13055794</v>
      </c>
      <c r="H39" s="23">
        <f t="shared" si="17"/>
        <v>15171280</v>
      </c>
      <c r="I39" s="54">
        <f t="shared" si="17"/>
        <v>16972868.924463216</v>
      </c>
      <c r="J39" s="54">
        <f t="shared" si="17"/>
        <v>19461143.988583647</v>
      </c>
      <c r="K39" s="54">
        <f t="shared" si="17"/>
        <v>21992219.283274837</v>
      </c>
    </row>
    <row r="40" spans="2:11" x14ac:dyDescent="0.25">
      <c r="B40" s="17"/>
      <c r="C40" s="8"/>
      <c r="D40" s="25"/>
      <c r="E40" s="25"/>
      <c r="F40" s="25"/>
      <c r="G40" s="25"/>
      <c r="H40" s="25"/>
      <c r="I40" s="25"/>
      <c r="J40" s="25"/>
      <c r="K40" s="25"/>
    </row>
    <row r="41" spans="2:11" x14ac:dyDescent="0.25">
      <c r="B41" s="26" t="s">
        <v>91</v>
      </c>
      <c r="C41" s="27"/>
      <c r="D41" s="28">
        <f t="shared" ref="D41:K41" si="18">D18-D39</f>
        <v>0</v>
      </c>
      <c r="E41" s="28">
        <f t="shared" si="18"/>
        <v>0</v>
      </c>
      <c r="F41" s="28">
        <f t="shared" si="18"/>
        <v>0</v>
      </c>
      <c r="G41" s="28">
        <f t="shared" si="18"/>
        <v>0</v>
      </c>
      <c r="H41" s="28">
        <f t="shared" si="18"/>
        <v>0</v>
      </c>
      <c r="I41" s="28">
        <f t="shared" si="18"/>
        <v>0</v>
      </c>
      <c r="J41" s="28">
        <f t="shared" si="18"/>
        <v>0</v>
      </c>
      <c r="K41" s="28">
        <f t="shared" si="18"/>
        <v>0</v>
      </c>
    </row>
    <row r="44" spans="2:11" x14ac:dyDescent="0.25">
      <c r="B44" s="58"/>
    </row>
  </sheetData>
  <mergeCells count="6">
    <mergeCell ref="B7:K7"/>
    <mergeCell ref="B19:K19"/>
    <mergeCell ref="B2:K2"/>
    <mergeCell ref="B3:K3"/>
    <mergeCell ref="D4:H4"/>
    <mergeCell ref="I4:K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/>
  </sheetPr>
  <dimension ref="B2:L37"/>
  <sheetViews>
    <sheetView zoomScale="73" workbookViewId="0"/>
  </sheetViews>
  <sheetFormatPr defaultRowHeight="15" x14ac:dyDescent="0.25"/>
  <cols>
    <col min="1" max="1" width="3" style="1" customWidth="1"/>
    <col min="2" max="2" width="34.42578125" style="1" bestFit="1" customWidth="1"/>
    <col min="3" max="3" width="15.5703125" style="1" customWidth="1"/>
    <col min="4" max="5" width="14.42578125" style="1" bestFit="1" customWidth="1"/>
    <col min="6" max="6" width="13.5703125" style="1" bestFit="1" customWidth="1"/>
    <col min="7" max="7" width="14.42578125" style="1" bestFit="1" customWidth="1"/>
    <col min="8" max="8" width="14.85546875" style="1" bestFit="1" customWidth="1"/>
    <col min="9" max="10" width="12.5703125" style="1" bestFit="1" customWidth="1"/>
    <col min="11" max="11" width="12.140625" style="1" bestFit="1" customWidth="1"/>
    <col min="12" max="16384" width="9.140625" style="1"/>
  </cols>
  <sheetData>
    <row r="2" spans="2:11" ht="16.5" x14ac:dyDescent="0.25">
      <c r="B2" s="99" t="s">
        <v>43</v>
      </c>
      <c r="C2" s="99"/>
      <c r="D2" s="99"/>
      <c r="E2" s="99"/>
      <c r="F2" s="99"/>
      <c r="G2" s="99"/>
      <c r="H2" s="99"/>
      <c r="I2" s="99"/>
      <c r="J2" s="99"/>
      <c r="K2" s="99"/>
    </row>
    <row r="3" spans="2:11" x14ac:dyDescent="0.25">
      <c r="B3" s="96" t="s">
        <v>40</v>
      </c>
      <c r="C3" s="96"/>
      <c r="D3" s="96"/>
      <c r="E3" s="96"/>
      <c r="F3" s="96"/>
      <c r="G3" s="96"/>
      <c r="H3" s="96"/>
      <c r="I3" s="96"/>
      <c r="J3" s="96"/>
      <c r="K3" s="96"/>
    </row>
    <row r="4" spans="2:11" x14ac:dyDescent="0.25">
      <c r="B4" s="10"/>
      <c r="C4" s="10"/>
      <c r="D4" s="100" t="s">
        <v>30</v>
      </c>
      <c r="E4" s="100"/>
      <c r="F4" s="100"/>
      <c r="G4" s="100"/>
      <c r="H4" s="100"/>
      <c r="I4" s="101" t="s">
        <v>31</v>
      </c>
      <c r="J4" s="101"/>
      <c r="K4" s="101"/>
    </row>
    <row r="5" spans="2:11" x14ac:dyDescent="0.25">
      <c r="B5" s="10"/>
      <c r="C5" s="10"/>
      <c r="D5" s="12" t="s">
        <v>32</v>
      </c>
      <c r="E5" s="12" t="s">
        <v>33</v>
      </c>
      <c r="F5" s="12" t="s">
        <v>34</v>
      </c>
      <c r="G5" s="12" t="s">
        <v>35</v>
      </c>
      <c r="H5" s="12" t="s">
        <v>36</v>
      </c>
      <c r="I5" s="13" t="s">
        <v>37</v>
      </c>
      <c r="J5" s="13" t="s">
        <v>38</v>
      </c>
      <c r="K5" s="13" t="s">
        <v>39</v>
      </c>
    </row>
    <row r="6" spans="2:11" x14ac:dyDescent="0.25">
      <c r="B6" s="103" t="s">
        <v>112</v>
      </c>
      <c r="C6" s="103"/>
      <c r="D6" s="103"/>
      <c r="E6" s="103"/>
      <c r="F6" s="103"/>
      <c r="G6" s="103"/>
      <c r="H6" s="103"/>
      <c r="I6" s="103"/>
      <c r="J6" s="103"/>
      <c r="K6" s="103"/>
    </row>
    <row r="7" spans="2:11" x14ac:dyDescent="0.25">
      <c r="B7" s="8" t="s">
        <v>57</v>
      </c>
      <c r="C7" s="8"/>
      <c r="D7" s="31">
        <f>'Income Statement'!D22</f>
        <v>805303</v>
      </c>
      <c r="E7" s="31">
        <f>'Income Statement'!E22</f>
        <v>1132087</v>
      </c>
      <c r="F7" s="31">
        <f>'Income Statement'!F22</f>
        <v>1405327</v>
      </c>
      <c r="G7" s="31">
        <f>'Income Statement'!G22</f>
        <v>1505729</v>
      </c>
      <c r="H7" s="31">
        <f>'Income Statement'!H22</f>
        <v>1558797</v>
      </c>
      <c r="I7" s="31">
        <f>'Income Statement'!I22</f>
        <v>1719448.5620754822</v>
      </c>
      <c r="J7" s="31">
        <f>'Income Statement'!J22</f>
        <v>2024795.6077018264</v>
      </c>
      <c r="K7" s="31">
        <f>'Income Statement'!K22</f>
        <v>2367135.2815634864</v>
      </c>
    </row>
    <row r="8" spans="2:11" x14ac:dyDescent="0.25">
      <c r="B8" s="8" t="s">
        <v>58</v>
      </c>
      <c r="C8" s="8"/>
      <c r="D8" s="31">
        <f>'Income Statement'!D23</f>
        <v>247343</v>
      </c>
      <c r="E8" s="31">
        <f>'Income Statement'!E23</f>
        <v>300129</v>
      </c>
      <c r="F8" s="31">
        <f>'Income Statement'!F23</f>
        <v>356828</v>
      </c>
      <c r="G8" s="31">
        <f>'Income Statement'!G23</f>
        <v>409179</v>
      </c>
      <c r="H8" s="31">
        <f>'Income Statement'!H23</f>
        <v>505031</v>
      </c>
      <c r="I8" s="31">
        <f>'Income Statement'!I23</f>
        <v>627731.26642852637</v>
      </c>
      <c r="J8" s="31">
        <f>'Income Statement'!J23</f>
        <v>671459.14833750378</v>
      </c>
      <c r="K8" s="31">
        <f>'Income Statement'!K23</f>
        <v>752493.32254687324</v>
      </c>
    </row>
    <row r="9" spans="2:11" x14ac:dyDescent="0.25">
      <c r="B9" s="60" t="s">
        <v>181</v>
      </c>
      <c r="C9" s="8"/>
      <c r="D9" s="31">
        <v>0</v>
      </c>
      <c r="E9" s="31">
        <f>('Balance Sheet'!D13-'Balance Sheet'!E13)+('Balance Sheet'!D14-'Balance Sheet'!E14)+('Balance Sheet'!D15-'Balance Sheet'!E15)+('Balance Sheet'!E25-'Balance Sheet'!D25)+('Balance Sheet'!E29-'Balance Sheet'!D29)</f>
        <v>-366294</v>
      </c>
      <c r="F9" s="31">
        <f>('Balance Sheet'!E13-'Balance Sheet'!F13)+('Balance Sheet'!E14-'Balance Sheet'!F14)+('Balance Sheet'!E15-'Balance Sheet'!F15)+('Balance Sheet'!F25-'Balance Sheet'!E25)+('Balance Sheet'!F29-'Balance Sheet'!E29)</f>
        <v>-130562</v>
      </c>
      <c r="G9" s="31">
        <f>('Balance Sheet'!F13-'Balance Sheet'!G13)+('Balance Sheet'!F14-'Balance Sheet'!G14)+('Balance Sheet'!F15-'Balance Sheet'!G15)+('Balance Sheet'!G25-'Balance Sheet'!F25)+('Balance Sheet'!G29-'Balance Sheet'!F29)</f>
        <v>704096</v>
      </c>
      <c r="H9" s="31">
        <f>('Balance Sheet'!G13-'Balance Sheet'!H13)+('Balance Sheet'!G14-'Balance Sheet'!H14)+('Balance Sheet'!G15-'Balance Sheet'!H15)+('Balance Sheet'!H25-'Balance Sheet'!G25)+('Balance Sheet'!H29-'Balance Sheet'!G29)</f>
        <v>442681</v>
      </c>
      <c r="I9" s="31">
        <f>('Balance Sheet'!H13-'Balance Sheet'!I13)+('Balance Sheet'!H14-'Balance Sheet'!I14)+('Balance Sheet'!H15-'Balance Sheet'!I15)+('Balance Sheet'!I25-'Balance Sheet'!H25)+('Balance Sheet'!I29-'Balance Sheet'!H29)</f>
        <v>236271.71488440188</v>
      </c>
      <c r="J9" s="31">
        <f>('Balance Sheet'!I13-'Balance Sheet'!J13)+('Balance Sheet'!I14-'Balance Sheet'!J14)+('Balance Sheet'!I15-'Balance Sheet'!J15)+('Balance Sheet'!J25-'Balance Sheet'!I25)+('Balance Sheet'!J29-'Balance Sheet'!I29)</f>
        <v>269200.70439287811</v>
      </c>
      <c r="K9" s="31">
        <f>('Balance Sheet'!J13-'Balance Sheet'!K13)+('Balance Sheet'!J14-'Balance Sheet'!K14)+('Balance Sheet'!J15-'Balance Sheet'!K15)+('Balance Sheet'!K25-'Balance Sheet'!J25)+('Balance Sheet'!K29-'Balance Sheet'!J29)</f>
        <v>212035.48863042879</v>
      </c>
    </row>
    <row r="10" spans="2:11" x14ac:dyDescent="0.25">
      <c r="B10" s="8" t="s">
        <v>92</v>
      </c>
      <c r="C10" s="8"/>
      <c r="D10" s="22">
        <v>-173004</v>
      </c>
      <c r="E10" s="22">
        <v>-234653</v>
      </c>
      <c r="F10" s="22">
        <v>-291839</v>
      </c>
      <c r="G10" s="22">
        <v>-417176</v>
      </c>
      <c r="H10" s="22">
        <v>-362312</v>
      </c>
      <c r="I10" s="31">
        <f>-ABS('Income Statement'!I20)</f>
        <v>-403327.44048684149</v>
      </c>
      <c r="J10" s="31">
        <f>-ABS('Income Statement'!J20)</f>
        <v>-474952.05612758885</v>
      </c>
      <c r="K10" s="31">
        <f>-ABS('Income Statement'!K20)</f>
        <v>-555253.95493464498</v>
      </c>
    </row>
    <row r="11" spans="2:11" x14ac:dyDescent="0.25">
      <c r="B11" s="29" t="s">
        <v>114</v>
      </c>
      <c r="C11" s="30"/>
      <c r="D11" s="32">
        <f>SUM(D7:D10)</f>
        <v>879642</v>
      </c>
      <c r="E11" s="32">
        <f t="shared" ref="E11:K11" si="0">SUM(E7:E10)</f>
        <v>831269</v>
      </c>
      <c r="F11" s="32">
        <f t="shared" si="0"/>
        <v>1339754</v>
      </c>
      <c r="G11" s="32">
        <f t="shared" si="0"/>
        <v>2201828</v>
      </c>
      <c r="H11" s="32">
        <f t="shared" si="0"/>
        <v>2144197</v>
      </c>
      <c r="I11" s="54">
        <f t="shared" si="0"/>
        <v>2180124.1029015691</v>
      </c>
      <c r="J11" s="54">
        <f t="shared" si="0"/>
        <v>2490503.4043046194</v>
      </c>
      <c r="K11" s="54">
        <f t="shared" si="0"/>
        <v>2776410.1378061436</v>
      </c>
    </row>
    <row r="12" spans="2:11" x14ac:dyDescent="0.25">
      <c r="B12" s="103" t="s">
        <v>111</v>
      </c>
      <c r="C12" s="103"/>
      <c r="D12" s="103"/>
      <c r="E12" s="103"/>
      <c r="F12" s="103"/>
      <c r="G12" s="103"/>
      <c r="H12" s="103"/>
      <c r="I12" s="103"/>
      <c r="J12" s="103"/>
      <c r="K12" s="103"/>
    </row>
    <row r="13" spans="2:11" x14ac:dyDescent="0.25">
      <c r="B13" s="8" t="s">
        <v>93</v>
      </c>
      <c r="C13" s="8"/>
      <c r="D13" s="22">
        <v>-1335604</v>
      </c>
      <c r="E13" s="22">
        <v>-1445905</v>
      </c>
      <c r="F13" s="22">
        <v>-1172863</v>
      </c>
      <c r="G13" s="22">
        <v>-1561914</v>
      </c>
      <c r="H13" s="22">
        <v>-2087043</v>
      </c>
      <c r="I13" s="31">
        <f>-'Income Statement'!I6*Assumptions!I28</f>
        <v>-2353992.2491069739</v>
      </c>
      <c r="J13" s="31">
        <f>-'Income Statement'!J6*Assumptions!J28</f>
        <v>-2596308.7069050153</v>
      </c>
      <c r="K13" s="31">
        <f>-'Income Statement'!K6*Assumptions!K28</f>
        <v>-2759142.1826718687</v>
      </c>
    </row>
    <row r="14" spans="2:11" x14ac:dyDescent="0.25">
      <c r="B14" s="8" t="s">
        <v>94</v>
      </c>
      <c r="C14" s="8"/>
      <c r="D14" s="22">
        <v>0</v>
      </c>
      <c r="E14" s="22">
        <v>0</v>
      </c>
      <c r="F14" s="22">
        <v>0</v>
      </c>
      <c r="G14" s="22">
        <v>-42897</v>
      </c>
      <c r="H14" s="22">
        <v>0</v>
      </c>
      <c r="I14" s="31">
        <v>0</v>
      </c>
      <c r="J14" s="31">
        <v>0</v>
      </c>
      <c r="K14" s="31">
        <v>0</v>
      </c>
    </row>
    <row r="15" spans="2:11" x14ac:dyDescent="0.25">
      <c r="B15" s="8" t="s">
        <v>95</v>
      </c>
      <c r="C15" s="8"/>
      <c r="D15" s="22">
        <v>4876</v>
      </c>
      <c r="E15" s="22">
        <v>11342</v>
      </c>
      <c r="F15" s="22">
        <v>11607</v>
      </c>
      <c r="G15" s="22">
        <v>7842</v>
      </c>
      <c r="H15" s="22">
        <v>11989</v>
      </c>
      <c r="I15" s="31">
        <v>0</v>
      </c>
      <c r="J15" s="31">
        <v>0</v>
      </c>
      <c r="K15" s="31">
        <v>0</v>
      </c>
    </row>
    <row r="16" spans="2:11" x14ac:dyDescent="0.25">
      <c r="B16" s="19" t="s">
        <v>115</v>
      </c>
      <c r="C16" s="18"/>
      <c r="D16" s="32">
        <f>D13+D14+D15</f>
        <v>-1330728</v>
      </c>
      <c r="E16" s="32">
        <f t="shared" ref="E16:K16" si="1">E13+E14+E15</f>
        <v>-1434563</v>
      </c>
      <c r="F16" s="32">
        <f t="shared" si="1"/>
        <v>-1161256</v>
      </c>
      <c r="G16" s="32">
        <f t="shared" si="1"/>
        <v>-1596969</v>
      </c>
      <c r="H16" s="32">
        <f t="shared" si="1"/>
        <v>-2075054</v>
      </c>
      <c r="I16" s="54">
        <f t="shared" si="1"/>
        <v>-2353992.2491069739</v>
      </c>
      <c r="J16" s="54">
        <f t="shared" si="1"/>
        <v>-2596308.7069050153</v>
      </c>
      <c r="K16" s="54">
        <f t="shared" si="1"/>
        <v>-2759142.1826718687</v>
      </c>
    </row>
    <row r="17" spans="2:12" x14ac:dyDescent="0.25">
      <c r="B17" s="103" t="s">
        <v>113</v>
      </c>
      <c r="C17" s="103"/>
      <c r="D17" s="103"/>
      <c r="E17" s="103"/>
      <c r="F17" s="103"/>
      <c r="G17" s="103"/>
      <c r="H17" s="103"/>
      <c r="I17" s="103"/>
      <c r="J17" s="103"/>
      <c r="K17" s="103"/>
    </row>
    <row r="18" spans="2:12" x14ac:dyDescent="0.25">
      <c r="B18" s="8" t="s">
        <v>96</v>
      </c>
      <c r="C18" s="8"/>
      <c r="D18" s="22">
        <v>-47224</v>
      </c>
      <c r="E18" s="22">
        <v>-47531</v>
      </c>
      <c r="F18" s="22">
        <v>-25837</v>
      </c>
      <c r="G18" s="22">
        <v>-43861</v>
      </c>
      <c r="H18" s="22">
        <v>-72333</v>
      </c>
      <c r="I18" s="31">
        <f>H18*(1+Assumptions!I29)</f>
        <v>-78119.64</v>
      </c>
      <c r="J18" s="31">
        <f>I18*(1+Assumptions!J29)</f>
        <v>-83588.014800000004</v>
      </c>
      <c r="K18" s="31">
        <f>J18*(1+Assumptions!K29)</f>
        <v>-88603.295688000013</v>
      </c>
      <c r="L18" s="31"/>
    </row>
    <row r="19" spans="2:12" x14ac:dyDescent="0.25">
      <c r="B19" s="8" t="s">
        <v>97</v>
      </c>
      <c r="C19" s="8"/>
      <c r="D19" s="22">
        <v>-163537</v>
      </c>
      <c r="E19" s="22">
        <v>321837</v>
      </c>
      <c r="F19" s="22">
        <v>-352802</v>
      </c>
      <c r="G19" s="22">
        <v>-122758</v>
      </c>
      <c r="H19" s="22">
        <v>-160466</v>
      </c>
      <c r="I19" s="31">
        <f>MAX(0,Assumptions!I43-(I25+I11+I16+I18+I20+I21))</f>
        <v>326564.97120540478</v>
      </c>
      <c r="J19" s="31">
        <f>MAX(0,Assumptions!J43-(J25+J11+J16+J18+J20+J21))</f>
        <v>603801.96303349757</v>
      </c>
      <c r="K19" s="31">
        <f>MAX(0,Assumptions!K43-(K25+K11+K16+K18+K20+K21))</f>
        <v>564749.16626808792</v>
      </c>
    </row>
    <row r="20" spans="2:12" x14ac:dyDescent="0.25">
      <c r="B20" s="8" t="s">
        <v>98</v>
      </c>
      <c r="C20" s="8"/>
      <c r="D20" s="22">
        <v>200000</v>
      </c>
      <c r="E20" s="22">
        <v>0</v>
      </c>
      <c r="F20" s="22">
        <v>-250000</v>
      </c>
      <c r="G20" s="22">
        <v>0</v>
      </c>
      <c r="H20" s="22">
        <v>-200000</v>
      </c>
      <c r="I20" s="31">
        <f>-MIN(Assumptions!I42,'Balance Sheet'!H28)</f>
        <v>-171882</v>
      </c>
      <c r="J20" s="31">
        <f>-MIN(Assumptions!J42,'Balance Sheet'!I28)</f>
        <v>0</v>
      </c>
      <c r="K20" s="31">
        <f>-MIN(Assumptions!K42,'Balance Sheet'!J28)</f>
        <v>0</v>
      </c>
    </row>
    <row r="21" spans="2:12" x14ac:dyDescent="0.25">
      <c r="B21" s="8" t="s">
        <v>90</v>
      </c>
      <c r="C21" s="8"/>
      <c r="D21" s="22">
        <v>-46645</v>
      </c>
      <c r="E21" s="22">
        <v>-129062</v>
      </c>
      <c r="F21" s="22">
        <v>-148974</v>
      </c>
      <c r="G21" s="22">
        <v>-121292</v>
      </c>
      <c r="H21" s="22">
        <v>-125800</v>
      </c>
      <c r="I21" s="31">
        <f>-ABS('Income Statement'!I18)</f>
        <v>-357509.185</v>
      </c>
      <c r="J21" s="31">
        <f>-ABS('Income Statement'!J18)</f>
        <v>-414408.64563310164</v>
      </c>
      <c r="K21" s="31">
        <f>-ABS('Income Statement'!K18)</f>
        <v>-493413.82571436284</v>
      </c>
    </row>
    <row r="22" spans="2:12" x14ac:dyDescent="0.25">
      <c r="B22" s="19" t="s">
        <v>116</v>
      </c>
      <c r="C22" s="18"/>
      <c r="D22" s="32">
        <f>SUM(D18:D21)</f>
        <v>-57406</v>
      </c>
      <c r="E22" s="32">
        <f t="shared" ref="E22:K22" si="2">SUM(E18:E21)</f>
        <v>145244</v>
      </c>
      <c r="F22" s="32">
        <f t="shared" si="2"/>
        <v>-777613</v>
      </c>
      <c r="G22" s="32">
        <f t="shared" si="2"/>
        <v>-287911</v>
      </c>
      <c r="H22" s="32">
        <f t="shared" si="2"/>
        <v>-558599</v>
      </c>
      <c r="I22" s="54">
        <f t="shared" si="2"/>
        <v>-280945.85379459523</v>
      </c>
      <c r="J22" s="54">
        <f t="shared" si="2"/>
        <v>105805.30260039592</v>
      </c>
      <c r="K22" s="54">
        <f t="shared" si="2"/>
        <v>-17267.955134274962</v>
      </c>
    </row>
    <row r="23" spans="2:12" x14ac:dyDescent="0.25">
      <c r="B23" s="102" t="s">
        <v>110</v>
      </c>
      <c r="C23" s="102"/>
      <c r="D23" s="102"/>
      <c r="E23" s="102"/>
      <c r="F23" s="102"/>
      <c r="G23" s="102"/>
      <c r="H23" s="102"/>
      <c r="I23" s="102"/>
      <c r="J23" s="102"/>
      <c r="K23" s="102"/>
    </row>
    <row r="24" spans="2:12" x14ac:dyDescent="0.25">
      <c r="B24" s="8" t="s">
        <v>99</v>
      </c>
      <c r="C24" s="8"/>
      <c r="D24" s="22">
        <v>-61803</v>
      </c>
      <c r="E24" s="22">
        <v>-35897</v>
      </c>
      <c r="F24" s="22">
        <v>-164329</v>
      </c>
      <c r="G24" s="22">
        <v>672633</v>
      </c>
      <c r="H24" s="22">
        <v>63792</v>
      </c>
      <c r="I24" s="31">
        <f>I11+I16+I22</f>
        <v>-454814</v>
      </c>
      <c r="J24" s="31">
        <f t="shared" ref="J24:K24" si="3">J11+J16+J22</f>
        <v>0</v>
      </c>
      <c r="K24" s="31">
        <f t="shared" si="3"/>
        <v>-5.8207660913467407E-11</v>
      </c>
    </row>
    <row r="25" spans="2:12" x14ac:dyDescent="0.25">
      <c r="B25" s="8" t="s">
        <v>100</v>
      </c>
      <c r="C25" s="8"/>
      <c r="D25" s="22">
        <v>480418</v>
      </c>
      <c r="E25" s="33">
        <f>D26</f>
        <v>418615</v>
      </c>
      <c r="F25" s="33">
        <f t="shared" ref="F25:K25" si="4">E26</f>
        <v>382718</v>
      </c>
      <c r="G25" s="33">
        <f t="shared" si="4"/>
        <v>218389</v>
      </c>
      <c r="H25" s="33">
        <f t="shared" si="4"/>
        <v>891022</v>
      </c>
      <c r="I25" s="31">
        <f t="shared" si="4"/>
        <v>954814</v>
      </c>
      <c r="J25" s="31">
        <f t="shared" si="4"/>
        <v>500000</v>
      </c>
      <c r="K25" s="31">
        <f t="shared" si="4"/>
        <v>500000</v>
      </c>
    </row>
    <row r="26" spans="2:12" x14ac:dyDescent="0.25">
      <c r="B26" s="29" t="s">
        <v>101</v>
      </c>
      <c r="C26" s="29"/>
      <c r="D26" s="32">
        <f>D24+D25</f>
        <v>418615</v>
      </c>
      <c r="E26" s="32">
        <f t="shared" ref="E26:K26" si="5">E24+E25</f>
        <v>382718</v>
      </c>
      <c r="F26" s="32">
        <f t="shared" si="5"/>
        <v>218389</v>
      </c>
      <c r="G26" s="32">
        <f t="shared" si="5"/>
        <v>891022</v>
      </c>
      <c r="H26" s="32">
        <f t="shared" si="5"/>
        <v>954814</v>
      </c>
      <c r="I26" s="54">
        <f>I24+I25</f>
        <v>500000</v>
      </c>
      <c r="J26" s="54">
        <f t="shared" si="5"/>
        <v>500000</v>
      </c>
      <c r="K26" s="54">
        <f t="shared" si="5"/>
        <v>499999.99999999994</v>
      </c>
    </row>
    <row r="27" spans="2:12" x14ac:dyDescent="0.25">
      <c r="B27" s="10" t="s">
        <v>182</v>
      </c>
      <c r="C27" s="10"/>
      <c r="D27" s="61">
        <f>D11+D13</f>
        <v>-455962</v>
      </c>
      <c r="E27" s="61">
        <f t="shared" ref="E27:K27" si="6">E11+E13</f>
        <v>-614636</v>
      </c>
      <c r="F27" s="61">
        <f t="shared" si="6"/>
        <v>166891</v>
      </c>
      <c r="G27" s="61">
        <f t="shared" si="6"/>
        <v>639914</v>
      </c>
      <c r="H27" s="61">
        <f t="shared" si="6"/>
        <v>57154</v>
      </c>
      <c r="I27" s="61">
        <f t="shared" si="6"/>
        <v>-173868.14620540477</v>
      </c>
      <c r="J27" s="61">
        <f t="shared" si="6"/>
        <v>-105805.30260039587</v>
      </c>
      <c r="K27" s="61">
        <f t="shared" si="6"/>
        <v>17267.955134274904</v>
      </c>
    </row>
    <row r="28" spans="2:12" x14ac:dyDescent="0.25">
      <c r="B28" s="10" t="s">
        <v>183</v>
      </c>
      <c r="C28" s="10"/>
      <c r="D28" s="62">
        <f>D27/'Income Statement'!D6</f>
        <v>-3.4123753219200824E-2</v>
      </c>
      <c r="E28" s="62">
        <f>E27/'Income Statement'!E6</f>
        <v>-3.1039679476762054E-2</v>
      </c>
      <c r="F28" s="62">
        <f>F27/'Income Statement'!F6</f>
        <v>6.5023510442018132E-3</v>
      </c>
      <c r="G28" s="62">
        <f>G27/'Income Statement'!G6</f>
        <v>2.1859621056267667E-2</v>
      </c>
      <c r="H28" s="62">
        <f>H27/'Income Statement'!H6</f>
        <v>1.6992845516707645E-3</v>
      </c>
      <c r="I28" s="62">
        <f>I27/'Income Statement'!I6</f>
        <v>-4.4316580805573479E-3</v>
      </c>
      <c r="J28" s="62">
        <f>J27/'Income Statement'!J6</f>
        <v>-2.3636278438315425E-3</v>
      </c>
      <c r="K28" s="62">
        <f>K27/'Income Statement'!K6</f>
        <v>3.4421478470726111E-4</v>
      </c>
    </row>
    <row r="29" spans="2:12" x14ac:dyDescent="0.25">
      <c r="B29" s="10" t="s">
        <v>184</v>
      </c>
      <c r="C29" s="10"/>
      <c r="D29" s="62">
        <f>D27/'Income Statement'!D22</f>
        <v>-0.56619930634804538</v>
      </c>
      <c r="E29" s="62">
        <f>E27/'Income Statement'!E22</f>
        <v>-0.54292293790141566</v>
      </c>
      <c r="F29" s="62">
        <f>F27/'Income Statement'!F22</f>
        <v>0.11875599059862936</v>
      </c>
      <c r="G29" s="62">
        <f>G27/'Income Statement'!G22</f>
        <v>0.42498616948999457</v>
      </c>
      <c r="H29" s="62">
        <f>H27/'Income Statement'!H22</f>
        <v>3.6665454193201552E-2</v>
      </c>
      <c r="I29" s="62">
        <f>I27/'Income Statement'!I22</f>
        <v>-0.10111855047035255</v>
      </c>
      <c r="J29" s="62">
        <f>J27/'Income Statement'!J22</f>
        <v>-5.2254806459446287E-2</v>
      </c>
      <c r="K29" s="62">
        <f>K27/'Income Statement'!K22</f>
        <v>7.2948746397246324E-3</v>
      </c>
    </row>
    <row r="37" spans="4:4" x14ac:dyDescent="0.25">
      <c r="D37" s="58"/>
    </row>
  </sheetData>
  <mergeCells count="8">
    <mergeCell ref="B2:K2"/>
    <mergeCell ref="B3:K3"/>
    <mergeCell ref="D4:H4"/>
    <mergeCell ref="I4:K4"/>
    <mergeCell ref="B23:K23"/>
    <mergeCell ref="B12:K12"/>
    <mergeCell ref="B6:K6"/>
    <mergeCell ref="B17:K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Assumptions</vt:lpstr>
      <vt:lpstr>Income Statement</vt:lpstr>
      <vt:lpstr>Balance Sheet</vt:lpstr>
      <vt:lpstr>Cash Flow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2026-04-23T00:18:37Z</dcterms:modified>
</cp:coreProperties>
</file>